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vnbiski/Library/Mobile Documents/com~apple~CloudDocs/Documents/USC/Papers/2. Morpho Paper/"/>
    </mc:Choice>
  </mc:AlternateContent>
  <xr:revisionPtr revIDLastSave="0" documentId="13_ncr:1_{B87E9691-DD37-CF4C-B6EF-0F89E301FAE2}" xr6:coauthVersionLast="47" xr6:coauthVersionMax="47" xr10:uidLastSave="{00000000-0000-0000-0000-000000000000}"/>
  <bookViews>
    <workbookView xWindow="1140" yWindow="3380" windowWidth="31240" windowHeight="19640" activeTab="3" xr2:uid="{00000000-000D-0000-FFFF-FFFF00000000}"/>
  </bookViews>
  <sheets>
    <sheet name="Size Trends from Papers Summary" sheetId="1" r:id="rId1"/>
    <sheet name="A. cuspidata Calc" sheetId="5" r:id="rId2"/>
    <sheet name="P. clavata Calc" sheetId="3" r:id="rId3"/>
    <sheet name="P. pristis Calc" sheetId="2" r:id="rId4"/>
    <sheet name="P. zijsron Calc" sheetId="4" r:id="rId5"/>
    <sheet name="Faria - A. cuspidata" sheetId="7" r:id="rId6"/>
    <sheet name="Faria - P. clavata" sheetId="8" r:id="rId7"/>
    <sheet name="Faria - P. prists" sheetId="9" r:id="rId8"/>
    <sheet name="Faria - P. zijsron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4" l="1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2" i="4"/>
  <c r="AC31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Z2" i="4"/>
  <c r="T2" i="3"/>
  <c r="I3" i="3"/>
  <c r="I4" i="3"/>
  <c r="I5" i="3"/>
  <c r="I6" i="3"/>
  <c r="I7" i="3"/>
  <c r="I8" i="3"/>
  <c r="I9" i="3"/>
  <c r="I10" i="3"/>
  <c r="I11" i="3"/>
  <c r="I12" i="3"/>
  <c r="I2" i="3"/>
  <c r="AA2" i="5"/>
  <c r="I3" i="5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4" i="4"/>
  <c r="AA5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P35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4" i="4"/>
  <c r="N2" i="4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2" i="2"/>
  <c r="AA3" i="3"/>
  <c r="AA4" i="3"/>
  <c r="AA5" i="3"/>
  <c r="AA6" i="3"/>
  <c r="AA7" i="3"/>
  <c r="AA8" i="3"/>
  <c r="AA9" i="3"/>
  <c r="AA10" i="3"/>
  <c r="AA11" i="3"/>
  <c r="AA12" i="3"/>
  <c r="AA13" i="3"/>
  <c r="AA14" i="3"/>
  <c r="AA2" i="3"/>
  <c r="P3" i="3"/>
  <c r="P4" i="3"/>
  <c r="P5" i="3"/>
  <c r="P6" i="3"/>
  <c r="P7" i="3"/>
  <c r="P8" i="3"/>
  <c r="P9" i="3"/>
  <c r="P10" i="3"/>
  <c r="P11" i="3"/>
  <c r="P12" i="3"/>
  <c r="P2" i="3"/>
  <c r="Z3" i="3"/>
  <c r="Z4" i="3"/>
  <c r="Z5" i="3"/>
  <c r="Z6" i="3"/>
  <c r="Z7" i="3"/>
  <c r="Z8" i="3"/>
  <c r="Z9" i="3"/>
  <c r="Z10" i="3"/>
  <c r="Z11" i="3"/>
  <c r="Z12" i="3"/>
  <c r="Z13" i="3"/>
  <c r="Z14" i="3"/>
  <c r="Z2" i="3"/>
  <c r="O3" i="3"/>
  <c r="O4" i="3"/>
  <c r="O5" i="3"/>
  <c r="O6" i="3"/>
  <c r="O7" i="3"/>
  <c r="O8" i="3"/>
  <c r="O9" i="3"/>
  <c r="O10" i="3"/>
  <c r="O11" i="3"/>
  <c r="O12" i="3"/>
  <c r="O2" i="3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2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3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F18" i="1"/>
  <c r="G18" i="1"/>
  <c r="H18" i="1"/>
  <c r="E18" i="1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2" i="5"/>
  <c r="T3" i="3"/>
  <c r="T4" i="3"/>
  <c r="T5" i="3"/>
  <c r="T6" i="3"/>
  <c r="T7" i="3"/>
  <c r="T8" i="3"/>
  <c r="T9" i="3"/>
  <c r="T10" i="3"/>
  <c r="T11" i="3"/>
  <c r="T12" i="3"/>
  <c r="T13" i="3"/>
  <c r="T14" i="3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" i="2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2" i="4"/>
  <c r="F17" i="1"/>
  <c r="G17" i="1"/>
  <c r="H17" i="1"/>
  <c r="E17" i="1"/>
  <c r="H16" i="1"/>
  <c r="H15" i="1"/>
  <c r="G16" i="1"/>
  <c r="G15" i="1"/>
  <c r="F16" i="1"/>
  <c r="F15" i="1"/>
  <c r="E16" i="1"/>
  <c r="E15" i="1"/>
  <c r="L2" i="2"/>
  <c r="M2" i="2"/>
  <c r="N2" i="2"/>
  <c r="O2" i="2"/>
  <c r="P2" i="2"/>
  <c r="S2" i="2"/>
  <c r="T2" i="2"/>
  <c r="L3" i="2"/>
  <c r="M3" i="2"/>
  <c r="N3" i="2"/>
  <c r="O3" i="2"/>
  <c r="P3" i="2"/>
  <c r="S3" i="2"/>
  <c r="T3" i="2"/>
  <c r="L4" i="2"/>
  <c r="M4" i="2"/>
  <c r="N4" i="2"/>
  <c r="O4" i="2"/>
  <c r="P4" i="2"/>
  <c r="S4" i="2"/>
  <c r="T4" i="2"/>
  <c r="U13" i="3"/>
  <c r="V13" i="3"/>
  <c r="W13" i="3"/>
  <c r="X13" i="3"/>
  <c r="Y13" i="3"/>
  <c r="U14" i="3"/>
  <c r="V14" i="3"/>
  <c r="W14" i="3"/>
  <c r="X14" i="3"/>
  <c r="Y14" i="3"/>
  <c r="AE2" i="2"/>
  <c r="AF2" i="2"/>
  <c r="AE3" i="2"/>
  <c r="AF3" i="2"/>
  <c r="AE4" i="2"/>
  <c r="AF4" i="2"/>
  <c r="AF5" i="2"/>
  <c r="AE5" i="2"/>
  <c r="AB2" i="2"/>
  <c r="AB3" i="2"/>
  <c r="AB4" i="2"/>
  <c r="AB5" i="2"/>
  <c r="X2" i="2"/>
  <c r="Y2" i="2"/>
  <c r="Z2" i="2"/>
  <c r="AA2" i="2"/>
  <c r="X3" i="2"/>
  <c r="Y3" i="2"/>
  <c r="Z3" i="2"/>
  <c r="AA3" i="2"/>
  <c r="X4" i="2"/>
  <c r="Y4" i="2"/>
  <c r="Z4" i="2"/>
  <c r="AA4" i="2"/>
  <c r="AA5" i="2"/>
  <c r="Z5" i="2"/>
  <c r="Y5" i="2"/>
  <c r="X5" i="2"/>
  <c r="V2" i="5"/>
  <c r="W2" i="5"/>
  <c r="Y2" i="5"/>
  <c r="V3" i="5"/>
  <c r="W3" i="5"/>
  <c r="Y3" i="5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U3" i="3"/>
  <c r="U4" i="3"/>
  <c r="U5" i="3"/>
  <c r="U6" i="3"/>
  <c r="U7" i="3"/>
  <c r="U8" i="3"/>
  <c r="U9" i="3"/>
  <c r="U10" i="3"/>
  <c r="U11" i="3"/>
  <c r="U12" i="3"/>
  <c r="U2" i="3"/>
  <c r="Q11" i="6" l="1"/>
  <c r="Q12" i="6"/>
  <c r="Q3" i="6"/>
  <c r="Q4" i="6"/>
  <c r="Q5" i="6"/>
  <c r="Q6" i="6"/>
  <c r="Q7" i="6"/>
  <c r="Q8" i="6"/>
  <c r="Q9" i="6"/>
  <c r="Q10" i="6"/>
  <c r="Q2" i="6"/>
  <c r="Q12" i="9"/>
  <c r="Q13" i="9"/>
  <c r="Q4" i="9"/>
  <c r="Q5" i="9"/>
  <c r="Q6" i="9"/>
  <c r="Q7" i="9"/>
  <c r="Q8" i="9"/>
  <c r="Q9" i="9"/>
  <c r="Q10" i="9"/>
  <c r="Q11" i="9"/>
  <c r="Q2" i="9"/>
  <c r="Q3" i="9"/>
  <c r="Q9" i="8"/>
  <c r="Q10" i="8"/>
  <c r="Q5" i="8"/>
  <c r="Q6" i="8"/>
  <c r="Q7" i="8"/>
  <c r="Q8" i="8"/>
  <c r="Q2" i="8"/>
  <c r="Q3" i="8"/>
  <c r="Q4" i="8"/>
  <c r="O12" i="7"/>
  <c r="O13" i="7"/>
  <c r="O14" i="7" s="1"/>
  <c r="O3" i="7"/>
  <c r="O4" i="7"/>
  <c r="O5" i="7"/>
  <c r="O6" i="7"/>
  <c r="O8" i="7"/>
  <c r="O9" i="7"/>
  <c r="O10" i="7"/>
  <c r="O11" i="7"/>
  <c r="O2" i="7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Y6" i="2"/>
  <c r="Z6" i="2"/>
  <c r="AA6" i="2"/>
  <c r="AB6" i="2"/>
  <c r="AE6" i="2"/>
  <c r="AF6" i="2"/>
  <c r="Y7" i="2"/>
  <c r="Z7" i="2"/>
  <c r="AA7" i="2"/>
  <c r="AB7" i="2"/>
  <c r="AE7" i="2"/>
  <c r="AF7" i="2"/>
  <c r="Y8" i="2"/>
  <c r="Z8" i="2"/>
  <c r="AA8" i="2"/>
  <c r="AB8" i="2"/>
  <c r="AE8" i="2"/>
  <c r="AF8" i="2"/>
  <c r="Y9" i="2"/>
  <c r="Z9" i="2"/>
  <c r="AA9" i="2"/>
  <c r="AB9" i="2"/>
  <c r="AE9" i="2"/>
  <c r="AF9" i="2"/>
  <c r="Y10" i="2"/>
  <c r="Z10" i="2"/>
  <c r="AA10" i="2"/>
  <c r="AB10" i="2"/>
  <c r="AE10" i="2"/>
  <c r="AF10" i="2"/>
  <c r="Y11" i="2"/>
  <c r="Z11" i="2"/>
  <c r="AA11" i="2"/>
  <c r="AB11" i="2"/>
  <c r="AE11" i="2"/>
  <c r="AF11" i="2"/>
  <c r="Y12" i="2"/>
  <c r="Z12" i="2"/>
  <c r="AA12" i="2"/>
  <c r="AB12" i="2"/>
  <c r="AE12" i="2"/>
  <c r="AF12" i="2"/>
  <c r="Y13" i="2"/>
  <c r="Z13" i="2"/>
  <c r="AA13" i="2"/>
  <c r="AB13" i="2"/>
  <c r="AE13" i="2"/>
  <c r="AF13" i="2"/>
  <c r="Y14" i="2"/>
  <c r="Z14" i="2"/>
  <c r="AA14" i="2"/>
  <c r="AB14" i="2"/>
  <c r="AE14" i="2"/>
  <c r="AF14" i="2"/>
  <c r="Y15" i="2"/>
  <c r="Z15" i="2"/>
  <c r="AA15" i="2"/>
  <c r="AB15" i="2"/>
  <c r="AE15" i="2"/>
  <c r="AF15" i="2"/>
  <c r="Y16" i="2"/>
  <c r="Z16" i="2"/>
  <c r="AA16" i="2"/>
  <c r="AB16" i="2"/>
  <c r="AE16" i="2"/>
  <c r="AF16" i="2"/>
  <c r="Y17" i="2"/>
  <c r="Z17" i="2"/>
  <c r="AA17" i="2"/>
  <c r="AB17" i="2"/>
  <c r="AE17" i="2"/>
  <c r="AF17" i="2"/>
  <c r="Y18" i="2"/>
  <c r="Z18" i="2"/>
  <c r="AA18" i="2"/>
  <c r="AB18" i="2"/>
  <c r="AE18" i="2"/>
  <c r="AF18" i="2"/>
  <c r="Y19" i="2"/>
  <c r="Z19" i="2"/>
  <c r="AA19" i="2"/>
  <c r="AB19" i="2"/>
  <c r="AE19" i="2"/>
  <c r="AF19" i="2"/>
  <c r="Y20" i="2"/>
  <c r="Z20" i="2"/>
  <c r="AA20" i="2"/>
  <c r="AB20" i="2"/>
  <c r="AE20" i="2"/>
  <c r="AF20" i="2"/>
  <c r="Y21" i="2"/>
  <c r="Z21" i="2"/>
  <c r="AA21" i="2"/>
  <c r="AB21" i="2"/>
  <c r="AE21" i="2"/>
  <c r="AF21" i="2"/>
  <c r="Y22" i="2"/>
  <c r="Z22" i="2"/>
  <c r="AA22" i="2"/>
  <c r="AB22" i="2"/>
  <c r="AE22" i="2"/>
  <c r="AF22" i="2"/>
  <c r="Y23" i="2"/>
  <c r="Z23" i="2"/>
  <c r="AA23" i="2"/>
  <c r="AB23" i="2"/>
  <c r="AE23" i="2"/>
  <c r="AF23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5" i="2"/>
  <c r="N3" i="3" l="1"/>
  <c r="N4" i="3"/>
  <c r="N5" i="3"/>
  <c r="N6" i="3"/>
  <c r="N7" i="3"/>
  <c r="N8" i="3"/>
  <c r="N9" i="3"/>
  <c r="N10" i="3"/>
  <c r="N11" i="3"/>
  <c r="N12" i="3"/>
  <c r="N2" i="3"/>
  <c r="M3" i="3"/>
  <c r="M4" i="3"/>
  <c r="M5" i="3"/>
  <c r="M6" i="3"/>
  <c r="M7" i="3"/>
  <c r="M8" i="3"/>
  <c r="M9" i="3"/>
  <c r="M10" i="3"/>
  <c r="M11" i="3"/>
  <c r="M12" i="3"/>
  <c r="M2" i="3"/>
  <c r="V3" i="3"/>
  <c r="V4" i="3"/>
  <c r="V5" i="3"/>
  <c r="V6" i="3"/>
  <c r="V7" i="3"/>
  <c r="V8" i="3"/>
  <c r="V9" i="3"/>
  <c r="V10" i="3"/>
  <c r="V11" i="3"/>
  <c r="V12" i="3"/>
  <c r="V2" i="3"/>
  <c r="K3" i="3"/>
  <c r="K4" i="3"/>
  <c r="K5" i="3"/>
  <c r="K6" i="3"/>
  <c r="K7" i="3"/>
  <c r="K8" i="3"/>
  <c r="K9" i="3"/>
  <c r="K10" i="3"/>
  <c r="K11" i="3"/>
  <c r="K12" i="3"/>
  <c r="K2" i="3"/>
  <c r="J12" i="3"/>
  <c r="J11" i="3"/>
  <c r="J10" i="3"/>
  <c r="J9" i="3"/>
  <c r="J8" i="3"/>
  <c r="J7" i="3"/>
  <c r="J6" i="3"/>
  <c r="J5" i="3"/>
  <c r="J4" i="3"/>
  <c r="J3" i="3"/>
  <c r="J2" i="3"/>
  <c r="Y3" i="3"/>
  <c r="Y4" i="3"/>
  <c r="Y5" i="3"/>
  <c r="Y6" i="3"/>
  <c r="Y7" i="3"/>
  <c r="Y8" i="3"/>
  <c r="Y9" i="3"/>
  <c r="Y10" i="3"/>
  <c r="Y11" i="3"/>
  <c r="Y12" i="3"/>
  <c r="Y2" i="3"/>
  <c r="X3" i="3"/>
  <c r="X4" i="3"/>
  <c r="X5" i="3"/>
  <c r="X6" i="3"/>
  <c r="X7" i="3"/>
  <c r="X8" i="3"/>
  <c r="X9" i="3"/>
  <c r="X10" i="3"/>
  <c r="X11" i="3"/>
  <c r="X12" i="3"/>
  <c r="X2" i="3"/>
  <c r="W5" i="3"/>
  <c r="W6" i="3"/>
  <c r="W7" i="3"/>
  <c r="W8" i="3"/>
  <c r="W9" i="3"/>
  <c r="W10" i="3"/>
  <c r="W11" i="3"/>
  <c r="W12" i="3"/>
  <c r="W2" i="3"/>
  <c r="W3" i="3"/>
  <c r="W4" i="3"/>
  <c r="L12" i="3"/>
  <c r="L11" i="3"/>
  <c r="L10" i="3"/>
  <c r="L9" i="3"/>
  <c r="L8" i="3"/>
  <c r="L7" i="3"/>
  <c r="L6" i="3"/>
  <c r="L5" i="3"/>
  <c r="L4" i="3"/>
  <c r="L3" i="3"/>
  <c r="L2" i="3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4" i="5"/>
  <c r="X4" i="5"/>
  <c r="L11" i="7"/>
  <c r="M8" i="8"/>
  <c r="M7" i="8"/>
  <c r="N7" i="8"/>
  <c r="J7" i="8"/>
  <c r="N8" i="8"/>
  <c r="N4" i="8"/>
  <c r="M4" i="8"/>
  <c r="J8" i="8"/>
  <c r="J4" i="8"/>
  <c r="N5" i="9"/>
  <c r="N6" i="9"/>
  <c r="N8" i="9"/>
  <c r="N10" i="9"/>
  <c r="N11" i="9"/>
  <c r="N4" i="9"/>
  <c r="M5" i="9"/>
  <c r="M6" i="9"/>
  <c r="M8" i="9"/>
  <c r="M10" i="9"/>
  <c r="M11" i="9"/>
  <c r="J5" i="9"/>
  <c r="J6" i="9"/>
  <c r="J8" i="9"/>
  <c r="J10" i="9"/>
  <c r="J11" i="9"/>
  <c r="J4" i="9"/>
  <c r="M4" i="9"/>
  <c r="H3" i="9"/>
  <c r="W3" i="8"/>
  <c r="X3" i="8"/>
  <c r="Y3" i="8"/>
  <c r="Z3" i="8"/>
  <c r="Y2" i="8"/>
  <c r="Y4" i="8" s="1"/>
  <c r="X2" i="8"/>
  <c r="W2" i="8"/>
  <c r="Z2" i="8"/>
  <c r="Z4" i="8" s="1"/>
  <c r="X8" i="7"/>
  <c r="V8" i="7"/>
  <c r="W8" i="7"/>
  <c r="U8" i="7"/>
  <c r="U2" i="7"/>
  <c r="V2" i="7"/>
  <c r="W2" i="7"/>
  <c r="X2" i="7"/>
  <c r="U3" i="7"/>
  <c r="V3" i="7"/>
  <c r="W3" i="7"/>
  <c r="X3" i="7"/>
  <c r="U4" i="7"/>
  <c r="V4" i="7"/>
  <c r="W4" i="7"/>
  <c r="X4" i="7"/>
  <c r="U5" i="7"/>
  <c r="V5" i="7"/>
  <c r="W5" i="7"/>
  <c r="X5" i="7"/>
  <c r="U6" i="7"/>
  <c r="V6" i="7"/>
  <c r="W6" i="7"/>
  <c r="X6" i="7"/>
  <c r="U7" i="7"/>
  <c r="V7" i="7"/>
  <c r="W7" i="7"/>
  <c r="X7" i="7"/>
  <c r="Q4" i="7"/>
  <c r="R4" i="7"/>
  <c r="S4" i="7"/>
  <c r="O3" i="9"/>
  <c r="P3" i="9"/>
  <c r="O4" i="9"/>
  <c r="P4" i="9"/>
  <c r="O5" i="9"/>
  <c r="P5" i="9"/>
  <c r="O6" i="9"/>
  <c r="P6" i="9"/>
  <c r="O7" i="9"/>
  <c r="P7" i="9"/>
  <c r="O8" i="9"/>
  <c r="P8" i="9"/>
  <c r="O9" i="9"/>
  <c r="P9" i="9"/>
  <c r="O10" i="9"/>
  <c r="P10" i="9"/>
  <c r="O11" i="9"/>
  <c r="P11" i="9"/>
  <c r="P2" i="9"/>
  <c r="O2" i="9"/>
  <c r="L4" i="9"/>
  <c r="L5" i="9"/>
  <c r="L6" i="9"/>
  <c r="L8" i="9"/>
  <c r="L10" i="9"/>
  <c r="L11" i="9"/>
  <c r="I9" i="9"/>
  <c r="I2" i="9"/>
  <c r="H2" i="9"/>
  <c r="H9" i="9"/>
  <c r="H10" i="9"/>
  <c r="I10" i="9"/>
  <c r="H11" i="9"/>
  <c r="I11" i="9"/>
  <c r="I8" i="9"/>
  <c r="H8" i="9"/>
  <c r="I7" i="9"/>
  <c r="H7" i="9"/>
  <c r="I6" i="9"/>
  <c r="H6" i="9"/>
  <c r="I5" i="9"/>
  <c r="H5" i="9"/>
  <c r="I4" i="9"/>
  <c r="H4" i="9"/>
  <c r="I3" i="9"/>
  <c r="P3" i="6"/>
  <c r="P4" i="6"/>
  <c r="P5" i="6"/>
  <c r="P6" i="6"/>
  <c r="P7" i="6"/>
  <c r="P8" i="6"/>
  <c r="P9" i="6"/>
  <c r="P10" i="6"/>
  <c r="P2" i="6"/>
  <c r="P12" i="6" s="1"/>
  <c r="O3" i="6"/>
  <c r="O4" i="6"/>
  <c r="O5" i="6"/>
  <c r="O6" i="6"/>
  <c r="O7" i="6"/>
  <c r="O8" i="6"/>
  <c r="O9" i="6"/>
  <c r="O10" i="6"/>
  <c r="O2" i="6"/>
  <c r="O12" i="6" s="1"/>
  <c r="O3" i="8"/>
  <c r="P3" i="8"/>
  <c r="O4" i="8"/>
  <c r="P4" i="8"/>
  <c r="O5" i="8"/>
  <c r="P5" i="8"/>
  <c r="O6" i="8"/>
  <c r="P6" i="8"/>
  <c r="O7" i="8"/>
  <c r="P7" i="8"/>
  <c r="O8" i="8"/>
  <c r="P8" i="8"/>
  <c r="P2" i="8"/>
  <c r="P10" i="8" s="1"/>
  <c r="O2" i="8"/>
  <c r="N3" i="7"/>
  <c r="N13" i="7" s="1"/>
  <c r="N14" i="7" s="1"/>
  <c r="N4" i="7"/>
  <c r="N12" i="7" s="1"/>
  <c r="N5" i="7"/>
  <c r="N6" i="7"/>
  <c r="N7" i="7"/>
  <c r="N8" i="7"/>
  <c r="N9" i="7"/>
  <c r="N10" i="7"/>
  <c r="N11" i="7"/>
  <c r="N2" i="7"/>
  <c r="M3" i="7"/>
  <c r="M4" i="7"/>
  <c r="M5" i="7"/>
  <c r="M6" i="7"/>
  <c r="M8" i="7"/>
  <c r="M9" i="7"/>
  <c r="M10" i="7"/>
  <c r="M11" i="7"/>
  <c r="M2" i="7"/>
  <c r="M12" i="7" s="1"/>
  <c r="R3" i="6"/>
  <c r="S3" i="6"/>
  <c r="R4" i="6"/>
  <c r="S4" i="6"/>
  <c r="R5" i="6"/>
  <c r="S5" i="6"/>
  <c r="R6" i="6"/>
  <c r="S6" i="6"/>
  <c r="R7" i="6"/>
  <c r="S7" i="6"/>
  <c r="R8" i="6"/>
  <c r="S8" i="6"/>
  <c r="R9" i="6"/>
  <c r="S9" i="6"/>
  <c r="R10" i="6"/>
  <c r="S10" i="6"/>
  <c r="S2" i="6"/>
  <c r="R2" i="6"/>
  <c r="K10" i="6"/>
  <c r="J3" i="6"/>
  <c r="K3" i="6" s="1"/>
  <c r="J4" i="6"/>
  <c r="K4" i="6" s="1"/>
  <c r="J5" i="6"/>
  <c r="K5" i="6" s="1"/>
  <c r="J7" i="6"/>
  <c r="K7" i="6" s="1"/>
  <c r="J8" i="6"/>
  <c r="K8" i="6" s="1"/>
  <c r="J9" i="6"/>
  <c r="K9" i="6" s="1"/>
  <c r="J10" i="6"/>
  <c r="J2" i="6"/>
  <c r="K2" i="6" s="1"/>
  <c r="I3" i="6"/>
  <c r="I4" i="6"/>
  <c r="I5" i="6"/>
  <c r="I6" i="6"/>
  <c r="I7" i="6"/>
  <c r="I8" i="6"/>
  <c r="I9" i="6"/>
  <c r="I10" i="6"/>
  <c r="I2" i="6"/>
  <c r="L7" i="8"/>
  <c r="L8" i="8"/>
  <c r="L4" i="8"/>
  <c r="H3" i="8"/>
  <c r="H4" i="8"/>
  <c r="H5" i="8"/>
  <c r="H6" i="8"/>
  <c r="H7" i="8"/>
  <c r="H8" i="8"/>
  <c r="H2" i="8"/>
  <c r="I3" i="8"/>
  <c r="I4" i="8"/>
  <c r="I5" i="8"/>
  <c r="I6" i="8"/>
  <c r="I7" i="8"/>
  <c r="I8" i="8"/>
  <c r="I2" i="8"/>
  <c r="P11" i="6" l="1"/>
  <c r="O11" i="6"/>
  <c r="W4" i="8"/>
  <c r="X4" i="8"/>
  <c r="P9" i="8"/>
  <c r="O9" i="8"/>
  <c r="O10" i="8"/>
  <c r="O12" i="9"/>
  <c r="P12" i="9"/>
  <c r="M13" i="9"/>
  <c r="M12" i="9"/>
  <c r="N13" i="9"/>
  <c r="N12" i="9"/>
  <c r="P13" i="9"/>
  <c r="O13" i="9"/>
  <c r="M9" i="8"/>
  <c r="M10" i="8"/>
  <c r="N10" i="8"/>
  <c r="N9" i="8"/>
  <c r="M13" i="7"/>
  <c r="M14" i="7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3" i="5"/>
  <c r="Y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" i="4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5" i="2"/>
  <c r="J3" i="5"/>
  <c r="K3" i="5"/>
  <c r="J4" i="5"/>
  <c r="K4" i="5"/>
  <c r="J5" i="5"/>
  <c r="K5" i="5"/>
  <c r="V4" i="5"/>
  <c r="W4" i="5"/>
  <c r="X2" i="4"/>
  <c r="X3" i="4"/>
  <c r="X4" i="4"/>
  <c r="J2" i="4"/>
  <c r="K2" i="4"/>
  <c r="L2" i="4"/>
  <c r="L3" i="4"/>
  <c r="L4" i="4"/>
  <c r="X6" i="5"/>
  <c r="X7" i="5"/>
  <c r="X8" i="5"/>
  <c r="X9" i="5"/>
  <c r="X10" i="5"/>
  <c r="X11" i="5"/>
  <c r="X12" i="5"/>
  <c r="X13" i="5"/>
  <c r="X14" i="5"/>
  <c r="X15" i="5"/>
  <c r="X16" i="5"/>
  <c r="X17" i="5"/>
  <c r="X5" i="5"/>
  <c r="L6" i="5"/>
  <c r="W6" i="5"/>
  <c r="W7" i="5"/>
  <c r="W8" i="5"/>
  <c r="W9" i="5"/>
  <c r="W10" i="5"/>
  <c r="W11" i="5"/>
  <c r="W12" i="5"/>
  <c r="W13" i="5"/>
  <c r="W14" i="5"/>
  <c r="W15" i="5"/>
  <c r="W16" i="5"/>
  <c r="W17" i="5"/>
  <c r="W5" i="5"/>
  <c r="V6" i="5"/>
  <c r="V7" i="5"/>
  <c r="V8" i="5"/>
  <c r="V9" i="5"/>
  <c r="V10" i="5"/>
  <c r="V11" i="5"/>
  <c r="V12" i="5"/>
  <c r="V13" i="5"/>
  <c r="V14" i="5"/>
  <c r="V15" i="5"/>
  <c r="V16" i="5"/>
  <c r="V17" i="5"/>
  <c r="V5" i="5"/>
  <c r="L7" i="5"/>
  <c r="L8" i="5"/>
  <c r="L9" i="5"/>
  <c r="L10" i="5"/>
  <c r="L11" i="5"/>
  <c r="L12" i="5"/>
  <c r="L13" i="5"/>
  <c r="L14" i="5"/>
  <c r="L15" i="5"/>
  <c r="L16" i="5"/>
  <c r="L17" i="5"/>
  <c r="L18" i="5"/>
  <c r="K7" i="5"/>
  <c r="K8" i="5"/>
  <c r="K9" i="5"/>
  <c r="K10" i="5"/>
  <c r="K11" i="5"/>
  <c r="K12" i="5"/>
  <c r="K13" i="5"/>
  <c r="K14" i="5"/>
  <c r="K15" i="5"/>
  <c r="K16" i="5"/>
  <c r="K17" i="5"/>
  <c r="K18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6" i="5"/>
  <c r="G9" i="7"/>
  <c r="L10" i="7"/>
  <c r="I3" i="7"/>
  <c r="K3" i="7" s="1"/>
  <c r="I4" i="7"/>
  <c r="K4" i="7" s="1"/>
  <c r="I5" i="7"/>
  <c r="K5" i="7" s="1"/>
  <c r="I6" i="7"/>
  <c r="K6" i="7" s="1"/>
  <c r="I7" i="7"/>
  <c r="L7" i="7" s="1"/>
  <c r="I8" i="7"/>
  <c r="L8" i="7" s="1"/>
  <c r="I9" i="7"/>
  <c r="K9" i="7" s="1"/>
  <c r="I10" i="7"/>
  <c r="I11" i="7"/>
  <c r="H3" i="7"/>
  <c r="H4" i="7"/>
  <c r="H5" i="7"/>
  <c r="H6" i="7"/>
  <c r="H8" i="7"/>
  <c r="H9" i="7"/>
  <c r="H10" i="7"/>
  <c r="K10" i="7" s="1"/>
  <c r="H11" i="7"/>
  <c r="K11" i="7" s="1"/>
  <c r="H2" i="7"/>
  <c r="G3" i="7"/>
  <c r="G4" i="7"/>
  <c r="G5" i="7"/>
  <c r="G6" i="7"/>
  <c r="G7" i="7"/>
  <c r="G8" i="7"/>
  <c r="G10" i="7"/>
  <c r="G11" i="7"/>
  <c r="G2" i="7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L35" i="4"/>
  <c r="L30" i="4"/>
  <c r="L31" i="4"/>
  <c r="L32" i="4"/>
  <c r="L33" i="4"/>
  <c r="L34" i="4"/>
  <c r="X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5" i="4"/>
  <c r="M3" i="6"/>
  <c r="M4" i="6"/>
  <c r="M5" i="6"/>
  <c r="M7" i="6"/>
  <c r="M8" i="6"/>
  <c r="M9" i="6"/>
  <c r="M10" i="6"/>
  <c r="M2" i="6"/>
  <c r="L6" i="7" l="1"/>
  <c r="L9" i="7"/>
  <c r="L5" i="7"/>
  <c r="L3" i="7"/>
  <c r="K8" i="7"/>
  <c r="K13" i="7" s="1"/>
  <c r="K14" i="7" s="1"/>
  <c r="L4" i="7"/>
  <c r="M12" i="6"/>
  <c r="M11" i="6"/>
  <c r="L12" i="7" l="1"/>
  <c r="L13" i="7"/>
  <c r="L14" i="7" s="1"/>
  <c r="K12" i="7"/>
</calcChain>
</file>

<file path=xl/sharedStrings.xml><?xml version="1.0" encoding="utf-8"?>
<sst xmlns="http://schemas.openxmlformats.org/spreadsheetml/2006/main" count="600" uniqueCount="273">
  <si>
    <t>Author</t>
  </si>
  <si>
    <t>Location</t>
  </si>
  <si>
    <t>Measurement</t>
  </si>
  <si>
    <t>Equation Type</t>
  </si>
  <si>
    <t>P. pristis</t>
  </si>
  <si>
    <t>P. clavata</t>
  </si>
  <si>
    <t>P. zijsron</t>
  </si>
  <si>
    <t>A. cuspidata</t>
  </si>
  <si>
    <t>Peverell 2008</t>
  </si>
  <si>
    <t>GoC</t>
  </si>
  <si>
    <t>LJTL</t>
  </si>
  <si>
    <t>Linear</t>
  </si>
  <si>
    <t>TL = 1.47LJTL - 5.71</t>
  </si>
  <si>
    <t>TL = 1.2LJTL + 8.75</t>
  </si>
  <si>
    <t>TL = 1.56LJTL - 12.63</t>
  </si>
  <si>
    <t>TL = 1.41LJTL + 2.98</t>
  </si>
  <si>
    <t>Morgan et al 2011</t>
  </si>
  <si>
    <t>WA</t>
  </si>
  <si>
    <t>TRL</t>
  </si>
  <si>
    <t>TRL = 3.7768 + (0.209TL)</t>
  </si>
  <si>
    <t>Thorburn et al. 2008</t>
  </si>
  <si>
    <t>TRL = 0.2825 TL – 3.7389; based on data from Faria 2007</t>
  </si>
  <si>
    <t>/</t>
  </si>
  <si>
    <t>Thorburn et al 2008</t>
  </si>
  <si>
    <t>Power</t>
  </si>
  <si>
    <t>TRL = 0.6412TL^0.8475</t>
  </si>
  <si>
    <t>Faria 2007</t>
  </si>
  <si>
    <t>Indian Ocean</t>
  </si>
  <si>
    <t>Data Only</t>
  </si>
  <si>
    <t>Whitty et al 2013</t>
  </si>
  <si>
    <t>Australia-wide</t>
  </si>
  <si>
    <t>SRL</t>
  </si>
  <si>
    <t>Power/Quadratic</t>
  </si>
  <si>
    <t>SRL = 0.5592TL^0.8749</t>
  </si>
  <si>
    <t>SRL = 0.5033TL^0.8643</t>
  </si>
  <si>
    <t>SRL=0.0733TL^1.1683</t>
  </si>
  <si>
    <t>SRL=9E-05TL^2–0.1795TL+287.29</t>
  </si>
  <si>
    <t>Thorburn et al 2007</t>
  </si>
  <si>
    <t>TRL = 0.4517TL^0.9113 (female) + 0.8580TL^0.8260 (male)</t>
  </si>
  <si>
    <t>TL Equation Original</t>
  </si>
  <si>
    <t>Unit</t>
  </si>
  <si>
    <t>r^2</t>
  </si>
  <si>
    <t>n</t>
  </si>
  <si>
    <t>Size Range</t>
  </si>
  <si>
    <t>TL Equation Adjusted for TRL Input</t>
  </si>
  <si>
    <t>TL Eqn. Adjusted for SRL Input</t>
  </si>
  <si>
    <t>cm</t>
  </si>
  <si>
    <t>83 - 277 cm TL</t>
  </si>
  <si>
    <t>76 - 277 cm TL</t>
  </si>
  <si>
    <t>mm</t>
  </si>
  <si>
    <t>TL = (1.699TRL)^1.143</t>
  </si>
  <si>
    <t>TL = (1.7883SRL)^1.143</t>
  </si>
  <si>
    <t>Thorburn et al 2007 Male</t>
  </si>
  <si>
    <t>TRL=0.8580*TL^0.8260</t>
  </si>
  <si>
    <t>93 - 240 cm TL</t>
  </si>
  <si>
    <t>Thorburn et al 2007 Female</t>
  </si>
  <si>
    <t>TRL = 0.4517*TL^0.9113</t>
  </si>
  <si>
    <t>TL = (2.21386TRL)^1.097</t>
  </si>
  <si>
    <t>TL Equation</t>
  </si>
  <si>
    <t>80 - 306 cm TL</t>
  </si>
  <si>
    <t>80 - 260 cm TL</t>
  </si>
  <si>
    <t>72 - 318 cm TL</t>
  </si>
  <si>
    <t>83 - 482 cm TL</t>
  </si>
  <si>
    <t>71 - 342 cm TL</t>
  </si>
  <si>
    <t>73 - 230 cm TL</t>
  </si>
  <si>
    <t>TL = (12.4148TRL)^0.8559</t>
  </si>
  <si>
    <t>TL = (13.6426SRL)^0.8559</t>
  </si>
  <si>
    <t>83 - 338 cm TL</t>
  </si>
  <si>
    <t>60 - 316 cm TL</t>
  </si>
  <si>
    <t>TL = (0.1795 + sqrt(0.000263TRL - 0.071208))/0.018</t>
  </si>
  <si>
    <t>TL = (0.1795 + sqrt(0.00036SRL - 0.071208))/0.018</t>
  </si>
  <si>
    <t>Year</t>
  </si>
  <si>
    <t>LJR</t>
  </si>
  <si>
    <t>TL</t>
  </si>
  <si>
    <t>Somali</t>
  </si>
  <si>
    <t>Red Sea</t>
  </si>
  <si>
    <t>S. Africa</t>
  </si>
  <si>
    <t>Indonesia</t>
  </si>
  <si>
    <t>TL = 3.4252TRL + 184.08</t>
  </si>
  <si>
    <t>TL = 5.0661TRL^0.9562</t>
  </si>
  <si>
    <t xml:space="preserve">TL Equation Adjusted for TRL Input </t>
  </si>
  <si>
    <t>TL Peverell</t>
  </si>
  <si>
    <t>TL Faria Linear</t>
  </si>
  <si>
    <t>TL Faria Power</t>
  </si>
  <si>
    <t>TL Whitty</t>
  </si>
  <si>
    <t>Faria et al 2007</t>
  </si>
  <si>
    <t>TRL %</t>
  </si>
  <si>
    <t>SRL %</t>
  </si>
  <si>
    <t>LJR %</t>
  </si>
  <si>
    <t xml:space="preserve">India </t>
  </si>
  <si>
    <t>West Pacific</t>
  </si>
  <si>
    <t>LJR/SRL</t>
  </si>
  <si>
    <t>LJR/TRL</t>
  </si>
  <si>
    <t>58 - 212 cm TL</t>
  </si>
  <si>
    <t>TL = 4.8904SRL - 75.012</t>
  </si>
  <si>
    <t>TL = 2.5626SRL^1.1052</t>
  </si>
  <si>
    <t>TL = 3.8815TRL - 63.935</t>
  </si>
  <si>
    <t>TL = 2.3514TRL^1.0772</t>
  </si>
  <si>
    <t>India</t>
  </si>
  <si>
    <t>Reunion</t>
  </si>
  <si>
    <t>PNG</t>
  </si>
  <si>
    <t>0.24 = SRL/TL</t>
  </si>
  <si>
    <t>0.23 = SRL/TL</t>
  </si>
  <si>
    <t>0.19 = SRL/TL</t>
  </si>
  <si>
    <t>0.2 = SRL/TL</t>
  </si>
  <si>
    <t>TL = TRL/0.24</t>
  </si>
  <si>
    <t>TL = TRL/0.27</t>
  </si>
  <si>
    <t>TL WhittyL</t>
  </si>
  <si>
    <t>TRL Whitty L</t>
  </si>
  <si>
    <t>TL = TRL/0.2</t>
  </si>
  <si>
    <t>TL = SRL/0.19</t>
  </si>
  <si>
    <t xml:space="preserve">TL Thorburn </t>
  </si>
  <si>
    <t>Peverell, 2005</t>
  </si>
  <si>
    <t>Australia</t>
  </si>
  <si>
    <t>TL Morgan</t>
  </si>
  <si>
    <t>TRL Morgan</t>
  </si>
  <si>
    <t>SRL/TL</t>
  </si>
  <si>
    <t>TRL/TL</t>
  </si>
  <si>
    <t>Avg</t>
  </si>
  <si>
    <t>SD</t>
  </si>
  <si>
    <t>SE</t>
  </si>
  <si>
    <t>Vietnam</t>
  </si>
  <si>
    <t>Mozambique</t>
  </si>
  <si>
    <t>Phillipines</t>
  </si>
  <si>
    <t>Japan</t>
  </si>
  <si>
    <t>BW Comp</t>
  </si>
  <si>
    <t xml:space="preserve">MNHN 1901- 492 </t>
  </si>
  <si>
    <t>MNHN 0000-3486</t>
  </si>
  <si>
    <t>MNHN 1967- 948</t>
  </si>
  <si>
    <t>RMNH D2661</t>
  </si>
  <si>
    <t>BMNH 1922.1.3.7</t>
  </si>
  <si>
    <t>BMNH 1858.11.19.8</t>
  </si>
  <si>
    <t>RMNH exhibition 2889</t>
  </si>
  <si>
    <t>RMNH uncat. old build.</t>
  </si>
  <si>
    <t>RMNH D2672</t>
  </si>
  <si>
    <t>Type</t>
  </si>
  <si>
    <t>Dry</t>
  </si>
  <si>
    <t>Wet</t>
  </si>
  <si>
    <t>Unk</t>
  </si>
  <si>
    <t>BMNH 1846.10.13.40</t>
  </si>
  <si>
    <t>MNHN 0000- 2607</t>
  </si>
  <si>
    <t>ZMB 4526</t>
  </si>
  <si>
    <t>ZMB 7820</t>
  </si>
  <si>
    <t>RMNH 4233</t>
  </si>
  <si>
    <t>MCZ –733</t>
  </si>
  <si>
    <t>MCZ 36648</t>
  </si>
  <si>
    <t>WET</t>
  </si>
  <si>
    <t>DRY</t>
  </si>
  <si>
    <t>ZMB 4527</t>
  </si>
  <si>
    <t>ZMB 7851</t>
  </si>
  <si>
    <t>MNHN A- 3527</t>
  </si>
  <si>
    <t>RMNH 7417</t>
  </si>
  <si>
    <t>RMNH 7419</t>
  </si>
  <si>
    <t>ZMB 8305</t>
  </si>
  <si>
    <t>BMNH1872.10.18.142</t>
  </si>
  <si>
    <t>ZMB 33547</t>
  </si>
  <si>
    <t>RMNH 28609</t>
  </si>
  <si>
    <t>RMNH 28608</t>
  </si>
  <si>
    <t>TL = SRL/0.2</t>
  </si>
  <si>
    <t>TL Whitty Linear</t>
  </si>
  <si>
    <t>TL = (1.5596TRL)^1.1799</t>
  </si>
  <si>
    <t>TL = 5.8895SRL - 170.44</t>
  </si>
  <si>
    <t>61.5 - 120 cm TL</t>
  </si>
  <si>
    <t>Data</t>
  </si>
  <si>
    <t>Faria 2007 Linear</t>
  </si>
  <si>
    <t>Faria 2007 Power</t>
  </si>
  <si>
    <t>TL = 7.812TRL - 437.5</t>
  </si>
  <si>
    <t>TL = (1.901TRL)^1.157</t>
  </si>
  <si>
    <t>TL = (1.9869SRL)^1.157</t>
  </si>
  <si>
    <t>TL = 5.3769TRL - 115.64</t>
  </si>
  <si>
    <r>
      <t>TL = 2.2177TRL^</t>
    </r>
    <r>
      <rPr>
        <vertAlign val="superscript"/>
        <sz val="10"/>
        <color rgb="FF000000"/>
        <rFont val="Arial"/>
        <family val="2"/>
      </rPr>
      <t>1.1454</t>
    </r>
  </si>
  <si>
    <t>Biskis 2022 Linear</t>
  </si>
  <si>
    <t>Biskis Exp</t>
  </si>
  <si>
    <t>Biskis 2022 L</t>
  </si>
  <si>
    <t>Biskis 2022 E</t>
  </si>
  <si>
    <r>
      <t>TL = 1.6671SRL^</t>
    </r>
    <r>
      <rPr>
        <vertAlign val="superscript"/>
        <sz val="10"/>
        <color rgb="FF000000"/>
        <rFont val="Arial"/>
        <family val="2"/>
      </rPr>
      <t>1.2085</t>
    </r>
  </si>
  <si>
    <t>TL Whitty L</t>
  </si>
  <si>
    <t>TL Faria L</t>
  </si>
  <si>
    <t>TL Faira Exp</t>
  </si>
  <si>
    <t>TL Biskis L</t>
  </si>
  <si>
    <t>TL Biskis E</t>
  </si>
  <si>
    <t>Faria 2007 L</t>
  </si>
  <si>
    <t>Table</t>
  </si>
  <si>
    <t>TL = 5.589TRL - 390.37</t>
  </si>
  <si>
    <t>83.3  - 303 cm TL</t>
  </si>
  <si>
    <t>TL Equation Adjusted for TRL Input, mm</t>
  </si>
  <si>
    <t>TL = 4.7847TRL  - 180.708</t>
  </si>
  <si>
    <t>TL = (1.2268SRL)^1.211</t>
  </si>
  <si>
    <t>TL = (2.3304SRL)^1.097</t>
  </si>
  <si>
    <t>Peverell TRL</t>
  </si>
  <si>
    <t>Morgan TRL</t>
  </si>
  <si>
    <t>Whitty TRL</t>
  </si>
  <si>
    <t>ThorburnM TRL</t>
  </si>
  <si>
    <t>ThorburnF TRL</t>
  </si>
  <si>
    <t>WhittyL TRL</t>
  </si>
  <si>
    <t>BiskisL TRL</t>
  </si>
  <si>
    <t>BiskisE TRL</t>
  </si>
  <si>
    <t>FariaL TRL</t>
  </si>
  <si>
    <t>FariaE TRL</t>
  </si>
  <si>
    <t>TL = (1.1655TRL)^1.21065</t>
  </si>
  <si>
    <t>Pev SRL</t>
  </si>
  <si>
    <t>Morg SRL</t>
  </si>
  <si>
    <t>Whitty SRL</t>
  </si>
  <si>
    <t>ThorF SRL</t>
  </si>
  <si>
    <t>ThorM SRL</t>
  </si>
  <si>
    <t>WhittyL SRL</t>
  </si>
  <si>
    <t>Biskis L SRL</t>
  </si>
  <si>
    <t>Biskis E SRL</t>
  </si>
  <si>
    <t>Faria L SRL</t>
  </si>
  <si>
    <t>Faria E SRL</t>
  </si>
  <si>
    <t>TL = 3.7666SRL + 166.15</t>
  </si>
  <si>
    <t>TL = 5.0242SRL^0.9704</t>
  </si>
  <si>
    <t>Biskis et al 2022</t>
  </si>
  <si>
    <t>Log</t>
  </si>
  <si>
    <t>TL = SRL/0.24</t>
  </si>
  <si>
    <t>TL NBLog</t>
  </si>
  <si>
    <t>TL NBLin</t>
  </si>
  <si>
    <t>Biskis Quad</t>
  </si>
  <si>
    <t>Biskis Pow</t>
  </si>
  <si>
    <t>Biskis 2022 Q</t>
  </si>
  <si>
    <t>Quadratic</t>
  </si>
  <si>
    <t>TL = TRL/0.26</t>
  </si>
  <si>
    <t xml:space="preserve">TL = 5.4599SRL - 289.37 </t>
  </si>
  <si>
    <t>y = 0.9913SRL^1.2526</t>
  </si>
  <si>
    <t>y = 1.4769TRL^1.1915</t>
  </si>
  <si>
    <t>SRL/TRL</t>
  </si>
  <si>
    <t>LJR/SRL ratio used</t>
  </si>
  <si>
    <t>LJR/TRL ratio used</t>
  </si>
  <si>
    <t>SRL/TRL ratio used</t>
  </si>
  <si>
    <t>TL = 1.8173SRL^1.1799</t>
  </si>
  <si>
    <t>TL = 5.2579SRL - 180.708</t>
  </si>
  <si>
    <t>TL NBP</t>
  </si>
  <si>
    <t>TL = SRL/0.23</t>
  </si>
  <si>
    <t>TL = 5.296SRL - 72.68</t>
  </si>
  <si>
    <t>b</t>
  </si>
  <si>
    <t>LJR coeff</t>
  </si>
  <si>
    <t>TL = 8.160SRL - 437.5</t>
  </si>
  <si>
    <t>TL = 4.160SRL + 121.49</t>
  </si>
  <si>
    <t>TL = 3.705SRL + 225.536</t>
  </si>
  <si>
    <t>New coeff SRL</t>
  </si>
  <si>
    <t>New coeff TRL</t>
  </si>
  <si>
    <t>TL = 4.264TRL - 72.683</t>
  </si>
  <si>
    <t>TL = 4.0034TRL + 121.49</t>
  </si>
  <si>
    <t>TL = 3.4543TRL + 225.536</t>
  </si>
  <si>
    <t>TL = 3.4782x + 77.845</t>
  </si>
  <si>
    <t>TL = 4.5772TRL^0.9635</t>
  </si>
  <si>
    <t>TL = -0.0029TRL^2+6.2586TRL-453.93</t>
  </si>
  <si>
    <t>TL = -0.002*SRL^2+5.64SRL-84.5</t>
  </si>
  <si>
    <t>TL = 4.0167SRL +167.41</t>
  </si>
  <si>
    <t>TL = 8.3644SRL^0.8953</t>
  </si>
  <si>
    <t>TL= 6.1443SRL - 166.83</t>
  </si>
  <si>
    <t>TL = 6.0172TRL - 204.33</t>
  </si>
  <si>
    <t>TL = 2.7244(TRL^1.1135)</t>
  </si>
  <si>
    <t>TL = 2.7587(SRL^1.1215)</t>
  </si>
  <si>
    <t>FarIa 2007 E</t>
  </si>
  <si>
    <t>63.3 - 29.5 cm TL</t>
  </si>
  <si>
    <t>73.5 - 29.1 cm TL</t>
  </si>
  <si>
    <t>82.5 - 581 cm TL</t>
  </si>
  <si>
    <t>TL =4.3851TRL - 83.41</t>
  </si>
  <si>
    <t>TL = 4.6131SRL - 87.584</t>
  </si>
  <si>
    <t>TL = 3.1996TRL^1.0425</t>
  </si>
  <si>
    <t>TL = 3.2309SRL^1.0495</t>
  </si>
  <si>
    <t>Exp</t>
  </si>
  <si>
    <t>78.6 - 541 cm TL</t>
  </si>
  <si>
    <t>TL = 3.5522*TRL + 147.41</t>
  </si>
  <si>
    <t>TL = 2504.3ln(TRL) - 13254</t>
  </si>
  <si>
    <t>TL = 4.3444TRL^0.9778</t>
  </si>
  <si>
    <t>TL NB Exp</t>
  </si>
  <si>
    <t>TL = 3.8297*SRL + 126.97</t>
  </si>
  <si>
    <t>TL = 2511.7*ln(SRL) - 13134</t>
  </si>
  <si>
    <t>TL = 4.5397SRL^0.9812</t>
  </si>
  <si>
    <t>KL_LogF</t>
  </si>
  <si>
    <t>KL_LogFM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</si>
</sst>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9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6100"/>
      <name val="Arial"/>
      <family val="2"/>
      <scheme val="minor"/>
    </font>
    <font>
      <sz val="8"/>
      <name val="Arial"/>
      <family val="2"/>
    </font>
    <font>
      <vertAlign val="superscript"/>
      <sz val="10"/>
      <color rgb="FF000000"/>
      <name val="Arial"/>
      <family val="2"/>
    </font>
    <font>
      <sz val="9"/>
      <color rgb="FF595959"/>
      <name val="Arial"/>
      <family val="2"/>
    </font>
    <font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2" borderId="0" xfId="1" applyAlignment="1"/>
    <xf numFmtId="0" fontId="7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2" fontId="2" fillId="0" borderId="0" xfId="0" applyNumberFormat="1" applyFont="1" applyAlignment="1">
      <alignment horizontal="left"/>
    </xf>
    <xf numFmtId="2" fontId="3" fillId="0" borderId="0" xfId="0" applyNumberFormat="1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6" fontId="3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Anoxy TL vs. TRL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'A. cuspidata Calc'!$I$1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Calc'!$H$3:$H$1002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Calc'!$I$3:$I$1002</c:f>
              <c:numCache>
                <c:formatCode>0.00</c:formatCode>
                <c:ptCount val="1000"/>
                <c:pt idx="0">
                  <c:v>566.97700000000009</c:v>
                </c:pt>
                <c:pt idx="1">
                  <c:v>780.197</c:v>
                </c:pt>
                <c:pt idx="2">
                  <c:v>993.41700000000014</c:v>
                </c:pt>
                <c:pt idx="3">
                  <c:v>1206.6370000000002</c:v>
                </c:pt>
                <c:pt idx="4">
                  <c:v>1419.857</c:v>
                </c:pt>
                <c:pt idx="5">
                  <c:v>1633.077</c:v>
                </c:pt>
                <c:pt idx="6">
                  <c:v>1846.297</c:v>
                </c:pt>
                <c:pt idx="7">
                  <c:v>2059.5170000000003</c:v>
                </c:pt>
                <c:pt idx="8">
                  <c:v>2272.7370000000001</c:v>
                </c:pt>
                <c:pt idx="9">
                  <c:v>2485.9570000000003</c:v>
                </c:pt>
                <c:pt idx="10">
                  <c:v>2699.1770000000001</c:v>
                </c:pt>
                <c:pt idx="11">
                  <c:v>2912.3969999999999</c:v>
                </c:pt>
                <c:pt idx="12">
                  <c:v>3125.6170000000002</c:v>
                </c:pt>
                <c:pt idx="13">
                  <c:v>3338.837</c:v>
                </c:pt>
                <c:pt idx="14">
                  <c:v>3552.0570000000002</c:v>
                </c:pt>
                <c:pt idx="15">
                  <c:v>3765.277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0-9847-A7E9-F2776B5FEE4E}"/>
            </c:ext>
          </c:extLst>
        </c:ser>
        <c:ser>
          <c:idx val="1"/>
          <c:order val="1"/>
          <c:tx>
            <c:strRef>
              <c:f>'A. cuspidata Calc'!$J$1</c:f>
              <c:strCache>
                <c:ptCount val="1"/>
                <c:pt idx="0">
                  <c:v>TL Faria Linear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Calc'!$H$3:$H$1002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Calc'!$J$3:$J$1002</c:f>
              <c:numCache>
                <c:formatCode>0.00</c:formatCode>
                <c:ptCount val="1000"/>
                <c:pt idx="0">
                  <c:v>518.29</c:v>
                </c:pt>
                <c:pt idx="1">
                  <c:v>712.36500000000001</c:v>
                </c:pt>
                <c:pt idx="2">
                  <c:v>906.44</c:v>
                </c:pt>
                <c:pt idx="3">
                  <c:v>1100.5150000000001</c:v>
                </c:pt>
                <c:pt idx="4">
                  <c:v>1294.5900000000001</c:v>
                </c:pt>
                <c:pt idx="5">
                  <c:v>1488.665</c:v>
                </c:pt>
                <c:pt idx="6">
                  <c:v>1682.74</c:v>
                </c:pt>
                <c:pt idx="7">
                  <c:v>1876.8150000000001</c:v>
                </c:pt>
                <c:pt idx="8">
                  <c:v>2070.89</c:v>
                </c:pt>
                <c:pt idx="9">
                  <c:v>2264.9650000000001</c:v>
                </c:pt>
                <c:pt idx="10">
                  <c:v>2459.04</c:v>
                </c:pt>
                <c:pt idx="11">
                  <c:v>2653.1150000000002</c:v>
                </c:pt>
                <c:pt idx="12">
                  <c:v>2847.19</c:v>
                </c:pt>
                <c:pt idx="13">
                  <c:v>3041.2649999999999</c:v>
                </c:pt>
                <c:pt idx="14">
                  <c:v>3235.34</c:v>
                </c:pt>
                <c:pt idx="15">
                  <c:v>3429.415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0-9847-A7E9-F2776B5FEE4E}"/>
            </c:ext>
          </c:extLst>
        </c:ser>
        <c:ser>
          <c:idx val="2"/>
          <c:order val="2"/>
          <c:tx>
            <c:strRef>
              <c:f>'A. cuspidata Calc'!$K$1</c:f>
              <c:strCache>
                <c:ptCount val="1"/>
                <c:pt idx="0">
                  <c:v>TL Faria 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'A. cuspidata Calc'!$H$3:$H$1002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Calc'!$K$3:$K$1002</c:f>
              <c:numCache>
                <c:formatCode>0.00</c:formatCode>
                <c:ptCount val="1000"/>
                <c:pt idx="0">
                  <c:v>519.29246158522778</c:v>
                </c:pt>
                <c:pt idx="1">
                  <c:v>707.93930505611229</c:v>
                </c:pt>
                <c:pt idx="2">
                  <c:v>900.30049971911114</c:v>
                </c:pt>
                <c:pt idx="3">
                  <c:v>1095.6744373321083</c:v>
                </c:pt>
                <c:pt idx="4">
                  <c:v>1293.5898856375172</c:v>
                </c:pt>
                <c:pt idx="5">
                  <c:v>1493.7074136696958</c:v>
                </c:pt>
                <c:pt idx="6">
                  <c:v>1695.7703351813166</c:v>
                </c:pt>
                <c:pt idx="7">
                  <c:v>1899.5774374391863</c:v>
                </c:pt>
                <c:pt idx="8">
                  <c:v>2104.9665700039718</c:v>
                </c:pt>
                <c:pt idx="9">
                  <c:v>2311.8041593715748</c:v>
                </c:pt>
                <c:pt idx="10">
                  <c:v>2519.9781876064194</c:v>
                </c:pt>
                <c:pt idx="11">
                  <c:v>2729.3933090376172</c:v>
                </c:pt>
                <c:pt idx="12">
                  <c:v>2939.9673461695702</c:v>
                </c:pt>
                <c:pt idx="13">
                  <c:v>3151.6287084455162</c:v>
                </c:pt>
                <c:pt idx="14">
                  <c:v>3364.3144478536074</c:v>
                </c:pt>
                <c:pt idx="15">
                  <c:v>3577.9687657555746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0-9847-A7E9-F2776B5FEE4E}"/>
            </c:ext>
          </c:extLst>
        </c:ser>
        <c:ser>
          <c:idx val="3"/>
          <c:order val="3"/>
          <c:tx>
            <c:strRef>
              <c:f>'A. cuspidata Calc'!$L$1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'A. cuspidata Calc'!$H$3:$H$1002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Calc'!$L$3:$L$1002</c:f>
              <c:numCache>
                <c:formatCode>0.00</c:formatCode>
                <c:ptCount val="1000"/>
                <c:pt idx="3">
                  <c:v>1484.4669322062377</c:v>
                </c:pt>
                <c:pt idx="4">
                  <c:v>1799.2643688319074</c:v>
                </c:pt>
                <c:pt idx="5">
                  <c:v>2021.4955267992457</c:v>
                </c:pt>
                <c:pt idx="6">
                  <c:v>2203.4560304037041</c:v>
                </c:pt>
                <c:pt idx="7">
                  <c:v>2361.3571853145345</c:v>
                </c:pt>
                <c:pt idx="8">
                  <c:v>2502.7880278453868</c:v>
                </c:pt>
                <c:pt idx="9">
                  <c:v>2632.0288140221796</c:v>
                </c:pt>
                <c:pt idx="10">
                  <c:v>2751.7753818966321</c:v>
                </c:pt>
                <c:pt idx="11">
                  <c:v>2863.8558198129012</c:v>
                </c:pt>
                <c:pt idx="12">
                  <c:v>2969.5774603031273</c:v>
                </c:pt>
                <c:pt idx="13">
                  <c:v>3069.9135602453371</c:v>
                </c:pt>
                <c:pt idx="14">
                  <c:v>3165.6118505517143</c:v>
                </c:pt>
                <c:pt idx="15">
                  <c:v>3257.2615532467457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80-9847-A7E9-F2776B5FEE4E}"/>
            </c:ext>
          </c:extLst>
        </c:ser>
        <c:ser>
          <c:idx val="4"/>
          <c:order val="4"/>
          <c:tx>
            <c:strRef>
              <c:f>'A. cuspidata Calc'!$M$1</c:f>
              <c:strCache>
                <c:ptCount val="1"/>
                <c:pt idx="0">
                  <c:v>TRL Whitty 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'A. cuspidata Calc'!$H$3:$H$18</c:f>
              <c:numCache>
                <c:formatCode>General</c:formatCode>
                <c:ptCount val="1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Calc'!$M$3:$M$18</c:f>
              <c:numCache>
                <c:formatCode>0.00</c:formatCode>
                <c:ptCount val="16"/>
                <c:pt idx="0">
                  <c:v>576.92307692307691</c:v>
                </c:pt>
                <c:pt idx="1">
                  <c:v>769.23076923076917</c:v>
                </c:pt>
                <c:pt idx="2">
                  <c:v>961.53846153846155</c:v>
                </c:pt>
                <c:pt idx="3">
                  <c:v>1153.8461538461538</c:v>
                </c:pt>
                <c:pt idx="4">
                  <c:v>1346.1538461538462</c:v>
                </c:pt>
                <c:pt idx="5">
                  <c:v>1538.4615384615383</c:v>
                </c:pt>
                <c:pt idx="6">
                  <c:v>1730.7692307692307</c:v>
                </c:pt>
                <c:pt idx="7">
                  <c:v>1923.0769230769231</c:v>
                </c:pt>
                <c:pt idx="8">
                  <c:v>2115.3846153846152</c:v>
                </c:pt>
                <c:pt idx="9">
                  <c:v>2307.6923076923076</c:v>
                </c:pt>
                <c:pt idx="10">
                  <c:v>2500</c:v>
                </c:pt>
                <c:pt idx="11">
                  <c:v>2692.3076923076924</c:v>
                </c:pt>
                <c:pt idx="12">
                  <c:v>2884.6153846153843</c:v>
                </c:pt>
                <c:pt idx="13">
                  <c:v>3076.9230769230767</c:v>
                </c:pt>
                <c:pt idx="14">
                  <c:v>3269.2307692307691</c:v>
                </c:pt>
                <c:pt idx="15">
                  <c:v>3461.5384615384614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AE-0B43-B628-09E1CBB77A7D}"/>
            </c:ext>
          </c:extLst>
        </c:ser>
        <c:ser>
          <c:idx val="5"/>
          <c:order val="5"/>
          <c:tx>
            <c:strRef>
              <c:f>'A. cuspidata Calc'!$N$1</c:f>
              <c:strCache>
                <c:ptCount val="1"/>
                <c:pt idx="0">
                  <c:v>Biskis 2022 Linear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'A. cuspidata Calc'!$H$3:$H$18</c:f>
              <c:numCache>
                <c:formatCode>General</c:formatCode>
                <c:ptCount val="1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Calc'!$N$3:$N$18</c:f>
              <c:numCache>
                <c:formatCode>0.00</c:formatCode>
                <c:ptCount val="16"/>
                <c:pt idx="0">
                  <c:v>599.57500000000005</c:v>
                </c:pt>
                <c:pt idx="1">
                  <c:v>773.48500000000001</c:v>
                </c:pt>
                <c:pt idx="2">
                  <c:v>947.3950000000001</c:v>
                </c:pt>
                <c:pt idx="3">
                  <c:v>1121.3050000000001</c:v>
                </c:pt>
                <c:pt idx="4">
                  <c:v>1295.2150000000001</c:v>
                </c:pt>
                <c:pt idx="5">
                  <c:v>1469.125</c:v>
                </c:pt>
                <c:pt idx="6">
                  <c:v>1643.0350000000001</c:v>
                </c:pt>
                <c:pt idx="7">
                  <c:v>1816.9450000000002</c:v>
                </c:pt>
                <c:pt idx="8">
                  <c:v>1990.855</c:v>
                </c:pt>
                <c:pt idx="9">
                  <c:v>2164.7649999999999</c:v>
                </c:pt>
                <c:pt idx="10">
                  <c:v>2338.6749999999997</c:v>
                </c:pt>
                <c:pt idx="11">
                  <c:v>2512.585</c:v>
                </c:pt>
                <c:pt idx="12">
                  <c:v>2686.4949999999999</c:v>
                </c:pt>
                <c:pt idx="13">
                  <c:v>2860.4049999999997</c:v>
                </c:pt>
                <c:pt idx="14">
                  <c:v>3034.3150000000001</c:v>
                </c:pt>
                <c:pt idx="15">
                  <c:v>3208.2249999999999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9C-E54D-A3C5-2BDCD93114E9}"/>
            </c:ext>
          </c:extLst>
        </c:ser>
        <c:ser>
          <c:idx val="6"/>
          <c:order val="6"/>
          <c:tx>
            <c:strRef>
              <c:f>'A. cuspidata Calc'!$O$1</c:f>
              <c:strCache>
                <c:ptCount val="1"/>
                <c:pt idx="0">
                  <c:v>Biskis Pow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'A. cuspidata Calc'!$H$3:$H$18</c:f>
              <c:numCache>
                <c:formatCode>General</c:formatCode>
                <c:ptCount val="1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Calc'!$O$3:$O$18</c:f>
              <c:numCache>
                <c:formatCode>0.00</c:formatCode>
                <c:ptCount val="16"/>
                <c:pt idx="0">
                  <c:v>571.82589365437866</c:v>
                </c:pt>
                <c:pt idx="1">
                  <c:v>754.47054634547612</c:v>
                </c:pt>
                <c:pt idx="2">
                  <c:v>935.43817120689039</c:v>
                </c:pt>
                <c:pt idx="3">
                  <c:v>1115.0804924120296</c:v>
                </c:pt>
                <c:pt idx="4">
                  <c:v>1293.6281277534604</c:v>
                </c:pt>
                <c:pt idx="5">
                  <c:v>1471.243953212409</c:v>
                </c:pt>
                <c:pt idx="6">
                  <c:v>1648.0490995714649</c:v>
                </c:pt>
                <c:pt idx="7">
                  <c:v>1824.137151090343</c:v>
                </c:pt>
                <c:pt idx="8">
                  <c:v>1999.5825615509546</c:v>
                </c:pt>
                <c:pt idx="9">
                  <c:v>2174.4459604856374</c:v>
                </c:pt>
                <c:pt idx="10">
                  <c:v>2348.7776646281495</c:v>
                </c:pt>
                <c:pt idx="11">
                  <c:v>2522.6200941597281</c:v>
                </c:pt>
                <c:pt idx="12">
                  <c:v>2696.0094897243202</c:v>
                </c:pt>
                <c:pt idx="13">
                  <c:v>2868.9771659726416</c:v>
                </c:pt>
                <c:pt idx="14">
                  <c:v>3041.5504480417108</c:v>
                </c:pt>
                <c:pt idx="15">
                  <c:v>3213.7533851870185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9C-E54D-A3C5-2BDCD93114E9}"/>
            </c:ext>
          </c:extLst>
        </c:ser>
        <c:ser>
          <c:idx val="7"/>
          <c:order val="7"/>
          <c:tx>
            <c:strRef>
              <c:f>'A. cuspidata Calc'!$P$1</c:f>
              <c:strCache>
                <c:ptCount val="1"/>
                <c:pt idx="0">
                  <c:v>Biskis Quad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'A. cuspidata Calc'!$H$3:$H$18</c:f>
              <c:numCache>
                <c:formatCode>General</c:formatCode>
                <c:ptCount val="1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</c:numCache>
            </c:numRef>
          </c:xVal>
          <c:yVal>
            <c:numRef>
              <c:f>'A. cuspidata Calc'!$P$3:$P$18</c:f>
              <c:numCache>
                <c:formatCode>0.00</c:formatCode>
                <c:ptCount val="16"/>
                <c:pt idx="0">
                  <c:v>419.61000000000007</c:v>
                </c:pt>
                <c:pt idx="1">
                  <c:v>681.79</c:v>
                </c:pt>
                <c:pt idx="2">
                  <c:v>929.47</c:v>
                </c:pt>
                <c:pt idx="3">
                  <c:v>1162.6500000000001</c:v>
                </c:pt>
                <c:pt idx="4">
                  <c:v>1381.3300000000002</c:v>
                </c:pt>
                <c:pt idx="5">
                  <c:v>1585.51</c:v>
                </c:pt>
                <c:pt idx="6">
                  <c:v>1775.1900000000003</c:v>
                </c:pt>
                <c:pt idx="7">
                  <c:v>1950.3700000000001</c:v>
                </c:pt>
                <c:pt idx="8">
                  <c:v>2111.0500000000002</c:v>
                </c:pt>
                <c:pt idx="9">
                  <c:v>2257.2300000000005</c:v>
                </c:pt>
                <c:pt idx="10">
                  <c:v>2388.9100000000003</c:v>
                </c:pt>
                <c:pt idx="11">
                  <c:v>2506.0900000000006</c:v>
                </c:pt>
                <c:pt idx="12">
                  <c:v>2608.7700000000009</c:v>
                </c:pt>
                <c:pt idx="13">
                  <c:v>2696.9500000000003</c:v>
                </c:pt>
                <c:pt idx="14">
                  <c:v>2770.6300000000006</c:v>
                </c:pt>
                <c:pt idx="15">
                  <c:v>2829.8100000000009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9C-E54D-A3C5-2BDCD9311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660719"/>
        <c:axId val="2012751552"/>
      </c:scatterChart>
      <c:valAx>
        <c:axId val="361660719"/>
        <c:scaling>
          <c:orientation val="minMax"/>
          <c:max val="10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751552"/>
        <c:crosses val="autoZero"/>
        <c:crossBetween val="midCat"/>
      </c:valAx>
      <c:valAx>
        <c:axId val="2012751552"/>
        <c:scaling>
          <c:orientation val="minMax"/>
          <c:max val="46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Length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6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Anoxy TL</a:t>
            </a:r>
            <a:r>
              <a:rPr lang="en-GB" baseline="0"/>
              <a:t> vs. SRL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'A. cuspidata Calc'!$U$1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Calc'!$U$3:$U$17</c:f>
              <c:numCache>
                <c:formatCode>0.0</c:formatCode>
                <c:ptCount val="15"/>
                <c:pt idx="0">
                  <c:v>721.73199999999997</c:v>
                </c:pt>
                <c:pt idx="1">
                  <c:v>986.53700000000003</c:v>
                </c:pt>
                <c:pt idx="2">
                  <c:v>1251.3420000000001</c:v>
                </c:pt>
                <c:pt idx="3">
                  <c:v>1516.1469999999999</c:v>
                </c:pt>
                <c:pt idx="4">
                  <c:v>1780.952</c:v>
                </c:pt>
                <c:pt idx="5">
                  <c:v>2045.7570000000001</c:v>
                </c:pt>
                <c:pt idx="6">
                  <c:v>2310.5619999999999</c:v>
                </c:pt>
                <c:pt idx="7">
                  <c:v>2575.3670000000002</c:v>
                </c:pt>
                <c:pt idx="8">
                  <c:v>2840.172</c:v>
                </c:pt>
                <c:pt idx="9">
                  <c:v>3104.9769999999999</c:v>
                </c:pt>
                <c:pt idx="10">
                  <c:v>3369.7820000000002</c:v>
                </c:pt>
                <c:pt idx="11">
                  <c:v>3634.587</c:v>
                </c:pt>
                <c:pt idx="12">
                  <c:v>3899.3919999999998</c:v>
                </c:pt>
                <c:pt idx="13">
                  <c:v>4164.1970000000001</c:v>
                </c:pt>
                <c:pt idx="14">
                  <c:v>4429.0020000000004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0-C644-8D75-E26099195069}"/>
            </c:ext>
          </c:extLst>
        </c:ser>
        <c:ser>
          <c:idx val="1"/>
          <c:order val="1"/>
          <c:tx>
            <c:strRef>
              <c:f>'A. cuspidata Calc'!$V$1</c:f>
              <c:strCache>
                <c:ptCount val="1"/>
                <c:pt idx="0">
                  <c:v>TL Faria Linear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Calc'!$V$3:$V$17</c:f>
              <c:numCache>
                <c:formatCode>0.0</c:formatCode>
                <c:ptCount val="15"/>
                <c:pt idx="0">
                  <c:v>658.548</c:v>
                </c:pt>
                <c:pt idx="1">
                  <c:v>903.06799999999998</c:v>
                </c:pt>
                <c:pt idx="2">
                  <c:v>1147.588</c:v>
                </c:pt>
                <c:pt idx="3">
                  <c:v>1392.1079999999999</c:v>
                </c:pt>
                <c:pt idx="4">
                  <c:v>1636.6279999999999</c:v>
                </c:pt>
                <c:pt idx="5">
                  <c:v>1881.1479999999999</c:v>
                </c:pt>
                <c:pt idx="6">
                  <c:v>2125.6679999999997</c:v>
                </c:pt>
                <c:pt idx="7">
                  <c:v>2370.1879999999996</c:v>
                </c:pt>
                <c:pt idx="8">
                  <c:v>2614.7079999999996</c:v>
                </c:pt>
                <c:pt idx="9">
                  <c:v>2859.2279999999996</c:v>
                </c:pt>
                <c:pt idx="10">
                  <c:v>3103.7479999999996</c:v>
                </c:pt>
                <c:pt idx="11">
                  <c:v>3348.2679999999996</c:v>
                </c:pt>
                <c:pt idx="12">
                  <c:v>3592.7879999999996</c:v>
                </c:pt>
                <c:pt idx="13">
                  <c:v>3837.3079999999995</c:v>
                </c:pt>
                <c:pt idx="14">
                  <c:v>4081.828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40-C644-8D75-E26099195069}"/>
            </c:ext>
          </c:extLst>
        </c:ser>
        <c:ser>
          <c:idx val="2"/>
          <c:order val="2"/>
          <c:tx>
            <c:strRef>
              <c:f>'A. cuspidata Calc'!$W$1</c:f>
              <c:strCache>
                <c:ptCount val="1"/>
                <c:pt idx="0">
                  <c:v>TL Faria 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Calc'!$W$3:$W$17</c:f>
              <c:numCache>
                <c:formatCode>0.0</c:formatCode>
                <c:ptCount val="15"/>
                <c:pt idx="0">
                  <c:v>651.17374443196138</c:v>
                </c:pt>
                <c:pt idx="1">
                  <c:v>894.90961254249169</c:v>
                </c:pt>
                <c:pt idx="2">
                  <c:v>1145.2073307816111</c:v>
                </c:pt>
                <c:pt idx="3">
                  <c:v>1400.861605893557</c:v>
                </c:pt>
                <c:pt idx="4">
                  <c:v>1661.0581041502442</c:v>
                </c:pt>
                <c:pt idx="5">
                  <c:v>1925.2074084305225</c:v>
                </c:pt>
                <c:pt idx="6">
                  <c:v>2192.8619509308205</c:v>
                </c:pt>
                <c:pt idx="7">
                  <c:v>2463.6696337922212</c:v>
                </c:pt>
                <c:pt idx="8">
                  <c:v>2737.3458148314203</c:v>
                </c:pt>
                <c:pt idx="9">
                  <c:v>3013.6553502760553</c:v>
                </c:pt>
                <c:pt idx="10">
                  <c:v>3292.4005348850833</c:v>
                </c:pt>
                <c:pt idx="11">
                  <c:v>3573.4126923256931</c:v>
                </c:pt>
                <c:pt idx="12">
                  <c:v>3856.5461262396384</c:v>
                </c:pt>
                <c:pt idx="13">
                  <c:v>4141.6736545555641</c:v>
                </c:pt>
                <c:pt idx="14">
                  <c:v>4428.6832387080185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40-C644-8D75-E26099195069}"/>
            </c:ext>
          </c:extLst>
        </c:ser>
        <c:ser>
          <c:idx val="3"/>
          <c:order val="3"/>
          <c:tx>
            <c:strRef>
              <c:f>'A. cuspidata Calc'!$X$1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Calc'!$X$3:$X$17</c:f>
              <c:numCache>
                <c:formatCode>0.0</c:formatCode>
                <c:ptCount val="15"/>
                <c:pt idx="1">
                  <c:v>1153.5694142163379</c:v>
                </c:pt>
                <c:pt idx="2">
                  <c:v>1758.7995328086133</c:v>
                </c:pt>
                <c:pt idx="3">
                  <c:v>2062.8467130986078</c:v>
                </c:pt>
                <c:pt idx="4">
                  <c:v>2297.6495024309661</c:v>
                </c:pt>
                <c:pt idx="5">
                  <c:v>2496.1106992833634</c:v>
                </c:pt>
                <c:pt idx="6">
                  <c:v>2671.2061594875181</c:v>
                </c:pt>
                <c:pt idx="7">
                  <c:v>2829.6462391401892</c:v>
                </c:pt>
                <c:pt idx="8">
                  <c:v>2975.4369055499274</c:v>
                </c:pt>
                <c:pt idx="9">
                  <c:v>3111.1968883166128</c:v>
                </c:pt>
                <c:pt idx="10">
                  <c:v>3238.7494793494789</c:v>
                </c:pt>
                <c:pt idx="11">
                  <c:v>3359.4245844257653</c:v>
                </c:pt>
                <c:pt idx="12">
                  <c:v>3474.2275826434616</c:v>
                </c:pt>
                <c:pt idx="13">
                  <c:v>3583.9404347670506</c:v>
                </c:pt>
                <c:pt idx="14">
                  <c:v>3689.1855701648838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40-C644-8D75-E26099195069}"/>
            </c:ext>
          </c:extLst>
        </c:ser>
        <c:ser>
          <c:idx val="4"/>
          <c:order val="4"/>
          <c:tx>
            <c:strRef>
              <c:f>'A. cuspidata Calc'!$Y$1</c:f>
              <c:strCache>
                <c:ptCount val="1"/>
                <c:pt idx="0">
                  <c:v>TL Whitty Linear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Calc'!$Y$3:$Y$17</c:f>
              <c:numCache>
                <c:formatCode>0.0</c:formatCode>
                <c:ptCount val="15"/>
                <c:pt idx="0">
                  <c:v>750</c:v>
                </c:pt>
                <c:pt idx="1">
                  <c:v>1000</c:v>
                </c:pt>
                <c:pt idx="2">
                  <c:v>1250</c:v>
                </c:pt>
                <c:pt idx="3">
                  <c:v>1500</c:v>
                </c:pt>
                <c:pt idx="4">
                  <c:v>1750</c:v>
                </c:pt>
                <c:pt idx="5">
                  <c:v>2000</c:v>
                </c:pt>
                <c:pt idx="6">
                  <c:v>2250</c:v>
                </c:pt>
                <c:pt idx="7">
                  <c:v>2500</c:v>
                </c:pt>
                <c:pt idx="8">
                  <c:v>2750</c:v>
                </c:pt>
                <c:pt idx="9">
                  <c:v>3000</c:v>
                </c:pt>
                <c:pt idx="10">
                  <c:v>3250</c:v>
                </c:pt>
                <c:pt idx="11">
                  <c:v>3500</c:v>
                </c:pt>
                <c:pt idx="12">
                  <c:v>3750</c:v>
                </c:pt>
                <c:pt idx="13">
                  <c:v>4000</c:v>
                </c:pt>
                <c:pt idx="14">
                  <c:v>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8C-A94B-90D1-9A65F58E29D1}"/>
            </c:ext>
          </c:extLst>
        </c:ser>
        <c:ser>
          <c:idx val="5"/>
          <c:order val="5"/>
          <c:tx>
            <c:strRef>
              <c:f>'A. cuspidata Calc'!$Z$1</c:f>
              <c:strCache>
                <c:ptCount val="1"/>
                <c:pt idx="0">
                  <c:v>Biskis 2022 Linear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Calc'!$Z$3:$Z$17</c:f>
              <c:numCache>
                <c:formatCode>0.0</c:formatCode>
                <c:ptCount val="15"/>
                <c:pt idx="0">
                  <c:v>769.91499999999996</c:v>
                </c:pt>
                <c:pt idx="1">
                  <c:v>970.75</c:v>
                </c:pt>
                <c:pt idx="2">
                  <c:v>1171.585</c:v>
                </c:pt>
                <c:pt idx="3">
                  <c:v>1372.42</c:v>
                </c:pt>
                <c:pt idx="4">
                  <c:v>1573.2550000000001</c:v>
                </c:pt>
                <c:pt idx="5">
                  <c:v>1774.0900000000001</c:v>
                </c:pt>
                <c:pt idx="6">
                  <c:v>1974.9250000000002</c:v>
                </c:pt>
                <c:pt idx="7">
                  <c:v>2175.7600000000002</c:v>
                </c:pt>
                <c:pt idx="8">
                  <c:v>2376.5949999999998</c:v>
                </c:pt>
                <c:pt idx="9">
                  <c:v>2577.4299999999998</c:v>
                </c:pt>
                <c:pt idx="10">
                  <c:v>2778.2649999999999</c:v>
                </c:pt>
                <c:pt idx="11">
                  <c:v>2979.1</c:v>
                </c:pt>
                <c:pt idx="12">
                  <c:v>3179.9349999999999</c:v>
                </c:pt>
                <c:pt idx="13">
                  <c:v>3380.77</c:v>
                </c:pt>
                <c:pt idx="14">
                  <c:v>3581.605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58-A64A-B602-1324280D7CEE}"/>
            </c:ext>
          </c:extLst>
        </c:ser>
        <c:ser>
          <c:idx val="6"/>
          <c:order val="6"/>
          <c:tx>
            <c:strRef>
              <c:f>'A. cuspidata Calc'!$AA$1</c:f>
              <c:strCache>
                <c:ptCount val="1"/>
                <c:pt idx="0">
                  <c:v>Biskis Exp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Calc'!$Z$3:$Z$17</c:f>
              <c:numCache>
                <c:formatCode>0.0</c:formatCode>
                <c:ptCount val="15"/>
                <c:pt idx="0">
                  <c:v>769.91499999999996</c:v>
                </c:pt>
                <c:pt idx="1">
                  <c:v>970.75</c:v>
                </c:pt>
                <c:pt idx="2">
                  <c:v>1171.585</c:v>
                </c:pt>
                <c:pt idx="3">
                  <c:v>1372.42</c:v>
                </c:pt>
                <c:pt idx="4">
                  <c:v>1573.2550000000001</c:v>
                </c:pt>
                <c:pt idx="5">
                  <c:v>1774.0900000000001</c:v>
                </c:pt>
                <c:pt idx="6">
                  <c:v>1974.9250000000002</c:v>
                </c:pt>
                <c:pt idx="7">
                  <c:v>2175.7600000000002</c:v>
                </c:pt>
                <c:pt idx="8">
                  <c:v>2376.5949999999998</c:v>
                </c:pt>
                <c:pt idx="9">
                  <c:v>2577.4299999999998</c:v>
                </c:pt>
                <c:pt idx="10">
                  <c:v>2778.2649999999999</c:v>
                </c:pt>
                <c:pt idx="11">
                  <c:v>2979.1</c:v>
                </c:pt>
                <c:pt idx="12">
                  <c:v>3179.9349999999999</c:v>
                </c:pt>
                <c:pt idx="13">
                  <c:v>3380.77</c:v>
                </c:pt>
                <c:pt idx="14">
                  <c:v>3581.605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58-A64A-B602-1324280D7CEE}"/>
            </c:ext>
          </c:extLst>
        </c:ser>
        <c:ser>
          <c:idx val="7"/>
          <c:order val="7"/>
          <c:tx>
            <c:strRef>
              <c:f>'A. cuspidata Calc'!$AB$1</c:f>
              <c:strCache>
                <c:ptCount val="1"/>
                <c:pt idx="0">
                  <c:v>Biskis Quad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'A. cuspidata Calc'!$T$3:$T$17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</c:numCache>
            </c:numRef>
          </c:xVal>
          <c:yVal>
            <c:numRef>
              <c:f>'A. cuspidata Calc'!$AB$3:$AB$17</c:f>
              <c:numCache>
                <c:formatCode>0.0</c:formatCode>
                <c:ptCount val="15"/>
                <c:pt idx="0">
                  <c:v>716.5</c:v>
                </c:pt>
                <c:pt idx="1">
                  <c:v>963.5</c:v>
                </c:pt>
                <c:pt idx="2">
                  <c:v>1200.5</c:v>
                </c:pt>
                <c:pt idx="3">
                  <c:v>1427.5</c:v>
                </c:pt>
                <c:pt idx="4">
                  <c:v>1644.5</c:v>
                </c:pt>
                <c:pt idx="5">
                  <c:v>1851.5</c:v>
                </c:pt>
                <c:pt idx="6">
                  <c:v>2048.5</c:v>
                </c:pt>
                <c:pt idx="7">
                  <c:v>2235.5</c:v>
                </c:pt>
                <c:pt idx="8">
                  <c:v>2412.5</c:v>
                </c:pt>
                <c:pt idx="9">
                  <c:v>2579.5</c:v>
                </c:pt>
                <c:pt idx="10">
                  <c:v>2736.5</c:v>
                </c:pt>
                <c:pt idx="11">
                  <c:v>2883.5</c:v>
                </c:pt>
                <c:pt idx="12">
                  <c:v>3020.5</c:v>
                </c:pt>
                <c:pt idx="13">
                  <c:v>3147.5</c:v>
                </c:pt>
                <c:pt idx="14">
                  <c:v>3264.5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58-A64A-B602-1324280D7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4943"/>
        <c:axId val="16405951"/>
      </c:scatterChart>
      <c:valAx>
        <c:axId val="16534943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SRL</a:t>
                </a:r>
                <a:r>
                  <a:rPr lang="en-GB" baseline="0"/>
                  <a:t>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951"/>
        <c:crosses val="autoZero"/>
        <c:crossBetween val="midCat"/>
      </c:valAx>
      <c:valAx>
        <c:axId val="16405951"/>
        <c:scaling>
          <c:orientation val="minMax"/>
          <c:max val="45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SRL 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'P. clavata Calc'!$T$1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Calc'!$T$2:$T$12</c:f>
              <c:numCache>
                <c:formatCode>General</c:formatCode>
                <c:ptCount val="11"/>
                <c:pt idx="0">
                  <c:v>786.5</c:v>
                </c:pt>
                <c:pt idx="1">
                  <c:v>1194.5</c:v>
                </c:pt>
                <c:pt idx="2">
                  <c:v>1602.5</c:v>
                </c:pt>
                <c:pt idx="3">
                  <c:v>2010.5</c:v>
                </c:pt>
                <c:pt idx="4">
                  <c:v>2418.5</c:v>
                </c:pt>
                <c:pt idx="5">
                  <c:v>2826.5</c:v>
                </c:pt>
                <c:pt idx="6">
                  <c:v>3234.5</c:v>
                </c:pt>
                <c:pt idx="7">
                  <c:v>3642.5</c:v>
                </c:pt>
                <c:pt idx="8">
                  <c:v>4050.5</c:v>
                </c:pt>
                <c:pt idx="9">
                  <c:v>4458.5</c:v>
                </c:pt>
                <c:pt idx="10">
                  <c:v>4866.5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6-034C-8198-2D1C41AA24C7}"/>
            </c:ext>
          </c:extLst>
        </c:ser>
        <c:ser>
          <c:idx val="1"/>
          <c:order val="1"/>
          <c:tx>
            <c:strRef>
              <c:f>'P. clavata Calc'!$U$1</c:f>
              <c:strCache>
                <c:ptCount val="1"/>
                <c:pt idx="0">
                  <c:v>TL Thorburn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Calc'!$U$2:$U$12</c:f>
              <c:numCache>
                <c:formatCode>General</c:formatCode>
                <c:ptCount val="11"/>
                <c:pt idx="0">
                  <c:v>671.4237559375747</c:v>
                </c:pt>
                <c:pt idx="1">
                  <c:v>942.78338125354617</c:v>
                </c:pt>
                <c:pt idx="2">
                  <c:v>1226.7499326768573</c:v>
                </c:pt>
                <c:pt idx="3">
                  <c:v>1521.1848624586898</c:v>
                </c:pt>
                <c:pt idx="4">
                  <c:v>1824.6203410620603</c:v>
                </c:pt>
                <c:pt idx="5">
                  <c:v>2135.9801399011767</c:v>
                </c:pt>
                <c:pt idx="6">
                  <c:v>2454.4380308196669</c:v>
                </c:pt>
                <c:pt idx="7">
                  <c:v>2779.3378043414832</c:v>
                </c:pt>
                <c:pt idx="8">
                  <c:v>3110.1444765747956</c:v>
                </c:pt>
                <c:pt idx="9">
                  <c:v>3446.4127390640092</c:v>
                </c:pt>
                <c:pt idx="10">
                  <c:v>3787.7656049510683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86-034C-8198-2D1C41AA24C7}"/>
            </c:ext>
          </c:extLst>
        </c:ser>
        <c:ser>
          <c:idx val="2"/>
          <c:order val="2"/>
          <c:tx>
            <c:strRef>
              <c:f>'P. clavata Calc'!$V$1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Calc'!$V$2:$V$12</c:f>
              <c:numCache>
                <c:formatCode>General</c:formatCode>
                <c:ptCount val="11"/>
                <c:pt idx="0">
                  <c:v>728.99949929409695</c:v>
                </c:pt>
                <c:pt idx="1">
                  <c:v>1016.9072608939471</c:v>
                </c:pt>
                <c:pt idx="2">
                  <c:v>1316.455651719247</c:v>
                </c:pt>
                <c:pt idx="3">
                  <c:v>1625.6196303646479</c:v>
                </c:pt>
                <c:pt idx="4">
                  <c:v>1943.0159720300574</c:v>
                </c:pt>
                <c:pt idx="5">
                  <c:v>2267.6344869513305</c:v>
                </c:pt>
                <c:pt idx="6">
                  <c:v>2598.7022457719395</c:v>
                </c:pt>
                <c:pt idx="7">
                  <c:v>2935.6071602402308</c:v>
                </c:pt>
                <c:pt idx="8">
                  <c:v>3277.8515050596111</c:v>
                </c:pt>
                <c:pt idx="9">
                  <c:v>3625.0219447143768</c:v>
                </c:pt>
                <c:pt idx="10">
                  <c:v>3976.769295176467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86-034C-8198-2D1C41AA24C7}"/>
            </c:ext>
          </c:extLst>
        </c:ser>
        <c:ser>
          <c:idx val="3"/>
          <c:order val="3"/>
          <c:tx>
            <c:strRef>
              <c:f>'P. clavata Calc'!$W$1</c:f>
              <c:strCache>
                <c:ptCount val="1"/>
                <c:pt idx="0">
                  <c:v>TL Whitty 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Calc'!$W$2:$W$12</c:f>
              <c:numCache>
                <c:formatCode>General</c:formatCode>
                <c:ptCount val="11"/>
                <c:pt idx="0">
                  <c:v>789.47368421052636</c:v>
                </c:pt>
                <c:pt idx="1">
                  <c:v>1052.6315789473683</c:v>
                </c:pt>
                <c:pt idx="2">
                  <c:v>1315.7894736842104</c:v>
                </c:pt>
                <c:pt idx="3">
                  <c:v>1578.9473684210527</c:v>
                </c:pt>
                <c:pt idx="4">
                  <c:v>1842.1052631578948</c:v>
                </c:pt>
                <c:pt idx="5">
                  <c:v>2105.2631578947367</c:v>
                </c:pt>
                <c:pt idx="6">
                  <c:v>2368.4210526315787</c:v>
                </c:pt>
                <c:pt idx="7">
                  <c:v>2631.5789473684208</c:v>
                </c:pt>
                <c:pt idx="8">
                  <c:v>2894.7368421052633</c:v>
                </c:pt>
                <c:pt idx="9">
                  <c:v>3157.8947368421054</c:v>
                </c:pt>
                <c:pt idx="10">
                  <c:v>3421.0526315789475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86-034C-8198-2D1C41AA24C7}"/>
            </c:ext>
          </c:extLst>
        </c:ser>
        <c:ser>
          <c:idx val="4"/>
          <c:order val="4"/>
          <c:tx>
            <c:strRef>
              <c:f>'P. clavata Calc'!$X$1</c:f>
              <c:strCache>
                <c:ptCount val="1"/>
                <c:pt idx="0">
                  <c:v>TL Faria 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Calc'!$X$2:$X$12</c:f>
              <c:numCache>
                <c:formatCode>General</c:formatCode>
                <c:ptCount val="11"/>
                <c:pt idx="0">
                  <c:v>712.9849999999999</c:v>
                </c:pt>
                <c:pt idx="1">
                  <c:v>1007.46</c:v>
                </c:pt>
                <c:pt idx="2">
                  <c:v>1301.9349999999999</c:v>
                </c:pt>
                <c:pt idx="3">
                  <c:v>1596.4099999999999</c:v>
                </c:pt>
                <c:pt idx="4">
                  <c:v>1890.8849999999998</c:v>
                </c:pt>
                <c:pt idx="5">
                  <c:v>2185.36</c:v>
                </c:pt>
                <c:pt idx="6">
                  <c:v>2479.835</c:v>
                </c:pt>
                <c:pt idx="7">
                  <c:v>2774.31</c:v>
                </c:pt>
                <c:pt idx="8">
                  <c:v>3068.7849999999999</c:v>
                </c:pt>
                <c:pt idx="9">
                  <c:v>3363.2599999999998</c:v>
                </c:pt>
                <c:pt idx="10">
                  <c:v>3657.7350000000001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86-034C-8198-2D1C41AA24C7}"/>
            </c:ext>
          </c:extLst>
        </c:ser>
        <c:ser>
          <c:idx val="5"/>
          <c:order val="5"/>
          <c:tx>
            <c:strRef>
              <c:f>'P. clavata Calc'!$Y$1</c:f>
              <c:strCache>
                <c:ptCount val="1"/>
                <c:pt idx="0">
                  <c:v>TL Faira Exp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Calc'!$Y$2:$Y$12</c:f>
              <c:numCache>
                <c:formatCode>General</c:formatCode>
                <c:ptCount val="11"/>
                <c:pt idx="0">
                  <c:v>710.83358368137647</c:v>
                </c:pt>
                <c:pt idx="1">
                  <c:v>1006.3670323845548</c:v>
                </c:pt>
                <c:pt idx="2">
                  <c:v>1317.8687260222584</c:v>
                </c:pt>
                <c:pt idx="3">
                  <c:v>1642.7167589876221</c:v>
                </c:pt>
                <c:pt idx="4">
                  <c:v>1979.1006575920505</c:v>
                </c:pt>
                <c:pt idx="5">
                  <c:v>2325.6863881262057</c:v>
                </c:pt>
                <c:pt idx="6">
                  <c:v>2681.4454999233667</c:v>
                </c:pt>
                <c:pt idx="7">
                  <c:v>3045.5581898235373</c:v>
                </c:pt>
                <c:pt idx="8">
                  <c:v>3417.3539412575956</c:v>
                </c:pt>
                <c:pt idx="9">
                  <c:v>3796.2730127117616</c:v>
                </c:pt>
                <c:pt idx="10">
                  <c:v>4181.8402947088025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86-034C-8198-2D1C41AA24C7}"/>
            </c:ext>
          </c:extLst>
        </c:ser>
        <c:ser>
          <c:idx val="6"/>
          <c:order val="6"/>
          <c:tx>
            <c:strRef>
              <c:f>'P. clavata Calc'!$Z$1</c:f>
              <c:strCache>
                <c:ptCount val="1"/>
                <c:pt idx="0">
                  <c:v>TL Biskis 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clavata Calc'!$S$2:$S$12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Calc'!$Z$2:$Z$12</c:f>
              <c:numCache>
                <c:formatCode>General</c:formatCode>
                <c:ptCount val="11"/>
                <c:pt idx="0">
                  <c:v>754.81500000000005</c:v>
                </c:pt>
                <c:pt idx="1">
                  <c:v>1062.0300000000002</c:v>
                </c:pt>
                <c:pt idx="2">
                  <c:v>1369.2450000000001</c:v>
                </c:pt>
                <c:pt idx="3">
                  <c:v>1676.4600000000003</c:v>
                </c:pt>
                <c:pt idx="4">
                  <c:v>1983.6750000000002</c:v>
                </c:pt>
                <c:pt idx="5">
                  <c:v>2290.8900000000003</c:v>
                </c:pt>
                <c:pt idx="6">
                  <c:v>2598.105</c:v>
                </c:pt>
                <c:pt idx="7">
                  <c:v>2905.32</c:v>
                </c:pt>
                <c:pt idx="8">
                  <c:v>3212.5350000000003</c:v>
                </c:pt>
                <c:pt idx="9">
                  <c:v>3519.7500000000005</c:v>
                </c:pt>
                <c:pt idx="10">
                  <c:v>3826.9650000000001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D-3344-BD49-B2AB2D648EA0}"/>
            </c:ext>
          </c:extLst>
        </c:ser>
        <c:ser>
          <c:idx val="7"/>
          <c:order val="7"/>
          <c:tx>
            <c:strRef>
              <c:f>'P. clavata Calc'!$AA$1</c:f>
              <c:strCache>
                <c:ptCount val="1"/>
                <c:pt idx="0">
                  <c:v>TL Biskis 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'P. clavata Calc'!$S$2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xVal>
          <c:yVal>
            <c:numRef>
              <c:f>'P. clavata Calc'!$AA$2:$AA$12</c:f>
              <c:numCache>
                <c:formatCode>General</c:formatCode>
                <c:ptCount val="11"/>
                <c:pt idx="0">
                  <c:v>760.66042530754328</c:v>
                </c:pt>
                <c:pt idx="1">
                  <c:v>1050.2909298889106</c:v>
                </c:pt>
                <c:pt idx="2">
                  <c:v>1348.9448505658809</c:v>
                </c:pt>
                <c:pt idx="3">
                  <c:v>1654.992241030473</c:v>
                </c:pt>
                <c:pt idx="4">
                  <c:v>1967.3280612658905</c:v>
                </c:pt>
                <c:pt idx="5">
                  <c:v>2285.1502220429634</c:v>
                </c:pt>
                <c:pt idx="6">
                  <c:v>2607.8482065543203</c:v>
                </c:pt>
                <c:pt idx="7">
                  <c:v>2934.9407264903002</c:v>
                </c:pt>
                <c:pt idx="8">
                  <c:v>3266.0379830652378</c:v>
                </c:pt>
                <c:pt idx="9">
                  <c:v>3600.8174301478316</c:v>
                </c:pt>
                <c:pt idx="10">
                  <c:v>3939.0074694697851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D-3344-BD49-B2AB2D648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035168"/>
        <c:axId val="660040128"/>
      </c:scatterChart>
      <c:valAx>
        <c:axId val="11030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040128"/>
        <c:crosses val="autoZero"/>
        <c:crossBetween val="midCat"/>
      </c:valAx>
      <c:valAx>
        <c:axId val="660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3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TRL 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'P. clavata Calc'!$I$1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Calc'!$I$2:$I$12</c:f>
              <c:numCache>
                <c:formatCode>General</c:formatCode>
                <c:ptCount val="11"/>
                <c:pt idx="0">
                  <c:v>734.3</c:v>
                </c:pt>
                <c:pt idx="1">
                  <c:v>1124.9000000000001</c:v>
                </c:pt>
                <c:pt idx="2">
                  <c:v>1515.5</c:v>
                </c:pt>
                <c:pt idx="3">
                  <c:v>1906.1</c:v>
                </c:pt>
                <c:pt idx="4">
                  <c:v>2296.7000000000003</c:v>
                </c:pt>
                <c:pt idx="5">
                  <c:v>2687.3</c:v>
                </c:pt>
                <c:pt idx="6">
                  <c:v>3077.9</c:v>
                </c:pt>
                <c:pt idx="7">
                  <c:v>3468.5</c:v>
                </c:pt>
                <c:pt idx="8">
                  <c:v>3859.1000000000004</c:v>
                </c:pt>
                <c:pt idx="9">
                  <c:v>4249.7</c:v>
                </c:pt>
                <c:pt idx="10">
                  <c:v>4640.3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B-6D44-AAD7-694F4D044EC7}"/>
            </c:ext>
          </c:extLst>
        </c:ser>
        <c:ser>
          <c:idx val="1"/>
          <c:order val="1"/>
          <c:tx>
            <c:strRef>
              <c:f>'P. clavata Calc'!$J$1</c:f>
              <c:strCache>
                <c:ptCount val="1"/>
                <c:pt idx="0">
                  <c:v>TL Thorburn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Calc'!$J$2:$J$12</c:f>
              <c:numCache>
                <c:formatCode>General</c:formatCode>
                <c:ptCount val="11"/>
                <c:pt idx="0">
                  <c:v>624.16557383439647</c:v>
                </c:pt>
                <c:pt idx="1">
                  <c:v>876.42554341845994</c:v>
                </c:pt>
                <c:pt idx="2">
                  <c:v>1140.4051002207127</c:v>
                </c:pt>
                <c:pt idx="3">
                  <c:v>1414.1162182426588</c:v>
                </c:pt>
                <c:pt idx="4">
                  <c:v>1696.1943811752749</c:v>
                </c:pt>
                <c:pt idx="5">
                  <c:v>1985.6391108155035</c:v>
                </c:pt>
                <c:pt idx="6">
                  <c:v>2281.6823331016562</c:v>
                </c:pt>
                <c:pt idx="7">
                  <c:v>2583.7140258822219</c:v>
                </c:pt>
                <c:pt idx="8">
                  <c:v>2891.236860123357</c:v>
                </c:pt>
                <c:pt idx="9">
                  <c:v>3203.8368704190743</c:v>
                </c:pt>
                <c:pt idx="10">
                  <c:v>3521.1636041431393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9B-6D44-AAD7-694F4D044EC7}"/>
            </c:ext>
          </c:extLst>
        </c:ser>
        <c:ser>
          <c:idx val="2"/>
          <c:order val="2"/>
          <c:tx>
            <c:strRef>
              <c:f>'P. clavata Calc'!$K$1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Calc'!$K$2:$K$12</c:f>
              <c:numCache>
                <c:formatCode>General</c:formatCode>
                <c:ptCount val="11"/>
                <c:pt idx="0">
                  <c:v>692.65966090178415</c:v>
                </c:pt>
                <c:pt idx="1">
                  <c:v>966.21553126088463</c:v>
                </c:pt>
                <c:pt idx="2">
                  <c:v>1250.8317580396938</c:v>
                </c:pt>
                <c:pt idx="3">
                  <c:v>1544.5842459617427</c:v>
                </c:pt>
                <c:pt idx="4">
                  <c:v>1846.1587224906195</c:v>
                </c:pt>
                <c:pt idx="5">
                  <c:v>2154.5953547318418</c:v>
                </c:pt>
                <c:pt idx="6">
                  <c:v>2469.1597430232609</c:v>
                </c:pt>
                <c:pt idx="7">
                  <c:v>2789.2703110520706</c:v>
                </c:pt>
                <c:pt idx="8">
                  <c:v>3114.4541445906339</c:v>
                </c:pt>
                <c:pt idx="9">
                  <c:v>3444.3185124526717</c:v>
                </c:pt>
                <c:pt idx="10">
                  <c:v>3778.5316370571395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9B-6D44-AAD7-694F4D044EC7}"/>
            </c:ext>
          </c:extLst>
        </c:ser>
        <c:ser>
          <c:idx val="3"/>
          <c:order val="3"/>
          <c:tx>
            <c:strRef>
              <c:f>'P. clavata Calc'!$L$1</c:f>
              <c:strCache>
                <c:ptCount val="1"/>
                <c:pt idx="0">
                  <c:v>TL Whitty 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Calc'!$L$2:$L$12</c:f>
              <c:numCache>
                <c:formatCode>General</c:formatCode>
                <c:ptCount val="11"/>
                <c:pt idx="0">
                  <c:v>750</c:v>
                </c:pt>
                <c:pt idx="1">
                  <c:v>1000</c:v>
                </c:pt>
                <c:pt idx="2">
                  <c:v>1250</c:v>
                </c:pt>
                <c:pt idx="3">
                  <c:v>1500</c:v>
                </c:pt>
                <c:pt idx="4">
                  <c:v>1750</c:v>
                </c:pt>
                <c:pt idx="5">
                  <c:v>2000</c:v>
                </c:pt>
                <c:pt idx="6">
                  <c:v>2250</c:v>
                </c:pt>
                <c:pt idx="7">
                  <c:v>2500</c:v>
                </c:pt>
                <c:pt idx="8">
                  <c:v>2750</c:v>
                </c:pt>
                <c:pt idx="9">
                  <c:v>3000</c:v>
                </c:pt>
                <c:pt idx="10">
                  <c:v>3250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9B-6D44-AAD7-694F4D044EC7}"/>
            </c:ext>
          </c:extLst>
        </c:ser>
        <c:ser>
          <c:idx val="4"/>
          <c:order val="4"/>
          <c:tx>
            <c:strRef>
              <c:f>'P. clavata Calc'!$M$1</c:f>
              <c:strCache>
                <c:ptCount val="1"/>
                <c:pt idx="0">
                  <c:v>TL Faria 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Calc'!$M$2:$M$12</c:f>
              <c:numCache>
                <c:formatCode>General</c:formatCode>
                <c:ptCount val="11"/>
                <c:pt idx="0">
                  <c:v>690.89499999999998</c:v>
                </c:pt>
                <c:pt idx="1">
                  <c:v>959.74000000000012</c:v>
                </c:pt>
                <c:pt idx="2">
                  <c:v>1228.5849999999998</c:v>
                </c:pt>
                <c:pt idx="3">
                  <c:v>1497.4299999999998</c:v>
                </c:pt>
                <c:pt idx="4">
                  <c:v>1766.2749999999999</c:v>
                </c:pt>
                <c:pt idx="5">
                  <c:v>2035.1200000000001</c:v>
                </c:pt>
                <c:pt idx="6">
                  <c:v>2303.9650000000001</c:v>
                </c:pt>
                <c:pt idx="7">
                  <c:v>2572.81</c:v>
                </c:pt>
                <c:pt idx="8">
                  <c:v>2841.6550000000002</c:v>
                </c:pt>
                <c:pt idx="9">
                  <c:v>3110.5</c:v>
                </c:pt>
                <c:pt idx="10">
                  <c:v>3379.3450000000003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9B-6D44-AAD7-694F4D044EC7}"/>
            </c:ext>
          </c:extLst>
        </c:ser>
        <c:ser>
          <c:idx val="5"/>
          <c:order val="5"/>
          <c:tx>
            <c:strRef>
              <c:f>'P. clavata Calc'!$N$1</c:f>
              <c:strCache>
                <c:ptCount val="1"/>
                <c:pt idx="0">
                  <c:v>TL Faira Exp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Calc'!$N$2:$N$12</c:f>
              <c:numCache>
                <c:formatCode>General</c:formatCode>
                <c:ptCount val="11"/>
                <c:pt idx="0">
                  <c:v>689.28324935748356</c:v>
                </c:pt>
                <c:pt idx="1">
                  <c:v>958.30235079543729</c:v>
                </c:pt>
                <c:pt idx="2">
                  <c:v>1237.3805420557753</c:v>
                </c:pt>
                <c:pt idx="3">
                  <c:v>1524.7459260053222</c:v>
                </c:pt>
                <c:pt idx="4">
                  <c:v>1819.1911495060663</c:v>
                </c:pt>
                <c:pt idx="5">
                  <c:v>2119.8362307784141</c:v>
                </c:pt>
                <c:pt idx="6">
                  <c:v>2426.0090116027486</c:v>
                </c:pt>
                <c:pt idx="7">
                  <c:v>2737.1779920322774</c:v>
                </c:pt>
                <c:pt idx="8">
                  <c:v>3052.9115434690302</c:v>
                </c:pt>
                <c:pt idx="9">
                  <c:v>3372.8516412330368</c:v>
                </c:pt>
                <c:pt idx="10">
                  <c:v>3696.6961498057353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9B-6D44-AAD7-694F4D044EC7}"/>
            </c:ext>
          </c:extLst>
        </c:ser>
        <c:ser>
          <c:idx val="6"/>
          <c:order val="6"/>
          <c:tx>
            <c:strRef>
              <c:f>'P. clavata Calc'!$O$1</c:f>
              <c:strCache>
                <c:ptCount val="1"/>
                <c:pt idx="0">
                  <c:v>TL Biskis 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clavata Calc'!$H$2:$H$12</c:f>
              <c:numCache>
                <c:formatCode>General</c:formatCode>
                <c:ptCount val="11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</c:numCache>
            </c:numRef>
          </c:xVal>
          <c:yVal>
            <c:numRef>
              <c:f>'P. clavata Calc'!$O$2:$O$12</c:f>
              <c:numCache>
                <c:formatCode>General</c:formatCode>
                <c:ptCount val="11"/>
                <c:pt idx="0">
                  <c:v>698.24999999999989</c:v>
                </c:pt>
                <c:pt idx="1">
                  <c:v>999.11</c:v>
                </c:pt>
                <c:pt idx="2">
                  <c:v>1299.97</c:v>
                </c:pt>
                <c:pt idx="3">
                  <c:v>1600.83</c:v>
                </c:pt>
                <c:pt idx="4">
                  <c:v>1901.69</c:v>
                </c:pt>
                <c:pt idx="5">
                  <c:v>2202.5500000000002</c:v>
                </c:pt>
                <c:pt idx="6">
                  <c:v>2503.41</c:v>
                </c:pt>
                <c:pt idx="7">
                  <c:v>2804.27</c:v>
                </c:pt>
                <c:pt idx="8">
                  <c:v>3105.13</c:v>
                </c:pt>
                <c:pt idx="9">
                  <c:v>3405.99</c:v>
                </c:pt>
                <c:pt idx="10">
                  <c:v>3706.85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3-474D-9061-54558F6D9E81}"/>
            </c:ext>
          </c:extLst>
        </c:ser>
        <c:ser>
          <c:idx val="7"/>
          <c:order val="7"/>
          <c:tx>
            <c:strRef>
              <c:f>'P. clavata Calc'!$P$1</c:f>
              <c:strCache>
                <c:ptCount val="1"/>
                <c:pt idx="0">
                  <c:v>TL Biskis 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Lit>
              <c:ptCount val="1"/>
              <c:pt idx="0">
                <c:v>''P. clavata Calc'!$H$2:$H$12</c:v>
              </c:pt>
            </c:strLit>
          </c:xVal>
          <c:yVal>
            <c:numRef>
              <c:f>'P. clavata Calc'!$P$2:$P$12</c:f>
              <c:numCache>
                <c:formatCode>General</c:formatCode>
                <c:ptCount val="11"/>
                <c:pt idx="0">
                  <c:v>721.68634576939314</c:v>
                </c:pt>
                <c:pt idx="1">
                  <c:v>994.18629442678287</c:v>
                </c:pt>
                <c:pt idx="2">
                  <c:v>1274.6092657950267</c:v>
                </c:pt>
                <c:pt idx="3">
                  <c:v>1561.5122253304967</c:v>
                </c:pt>
                <c:pt idx="4">
                  <c:v>1853.9185032449764</c:v>
                </c:pt>
                <c:pt idx="5">
                  <c:v>2151.1201675132002</c:v>
                </c:pt>
                <c:pt idx="6">
                  <c:v>2452.57900206969</c:v>
                </c:pt>
                <c:pt idx="7">
                  <c:v>2757.8711482154695</c:v>
                </c:pt>
                <c:pt idx="8">
                  <c:v>3066.653629746148</c:v>
                </c:pt>
                <c:pt idx="9">
                  <c:v>3378.6428746370357</c:v>
                </c:pt>
                <c:pt idx="10">
                  <c:v>3693.6002780169429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23-474D-9061-54558F6D9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096384"/>
        <c:axId val="1100678176"/>
      </c:scatterChart>
      <c:valAx>
        <c:axId val="108709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78176"/>
        <c:crosses val="autoZero"/>
        <c:crossBetween val="midCat"/>
      </c:valAx>
      <c:valAx>
        <c:axId val="11006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9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P. pristis</a:t>
            </a:r>
            <a:r>
              <a:rPr lang="en-GB" baseline="0"/>
              <a:t> TL v TRL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'P. pristis Calc'!$K$1</c:f>
              <c:strCache>
                <c:ptCount val="1"/>
                <c:pt idx="0">
                  <c:v>Peverell 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Calc'!$K$5:$K$29</c:f>
              <c:numCache>
                <c:formatCode>0.00</c:formatCode>
                <c:ptCount val="25"/>
                <c:pt idx="0">
                  <c:v>1322.51</c:v>
                </c:pt>
                <c:pt idx="1">
                  <c:v>1522.68</c:v>
                </c:pt>
                <c:pt idx="2">
                  <c:v>1722.8500000000001</c:v>
                </c:pt>
                <c:pt idx="3">
                  <c:v>1923.02</c:v>
                </c:pt>
                <c:pt idx="4">
                  <c:v>2123.19</c:v>
                </c:pt>
                <c:pt idx="5">
                  <c:v>2323.3599999999997</c:v>
                </c:pt>
                <c:pt idx="6">
                  <c:v>2523.5299999999997</c:v>
                </c:pt>
                <c:pt idx="7">
                  <c:v>2723.7</c:v>
                </c:pt>
                <c:pt idx="8">
                  <c:v>2923.87</c:v>
                </c:pt>
                <c:pt idx="9">
                  <c:v>3124.04</c:v>
                </c:pt>
                <c:pt idx="10">
                  <c:v>3324.21</c:v>
                </c:pt>
                <c:pt idx="11">
                  <c:v>3524.3799999999997</c:v>
                </c:pt>
                <c:pt idx="12">
                  <c:v>3724.5499999999997</c:v>
                </c:pt>
                <c:pt idx="13">
                  <c:v>3924.72</c:v>
                </c:pt>
                <c:pt idx="14">
                  <c:v>4124.8900000000003</c:v>
                </c:pt>
                <c:pt idx="15">
                  <c:v>4325.0599999999995</c:v>
                </c:pt>
                <c:pt idx="16">
                  <c:v>4525.2299999999996</c:v>
                </c:pt>
                <c:pt idx="17">
                  <c:v>4725.3999999999996</c:v>
                </c:pt>
                <c:pt idx="18">
                  <c:v>4925.57</c:v>
                </c:pt>
                <c:pt idx="19">
                  <c:v>5125.74</c:v>
                </c:pt>
                <c:pt idx="20">
                  <c:v>5325.91</c:v>
                </c:pt>
                <c:pt idx="21">
                  <c:v>5526.08</c:v>
                </c:pt>
                <c:pt idx="22">
                  <c:v>5726.25</c:v>
                </c:pt>
                <c:pt idx="23">
                  <c:v>5926.42</c:v>
                </c:pt>
                <c:pt idx="24">
                  <c:v>6126.59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3-0946-98BF-80E8172DB0B5}"/>
            </c:ext>
          </c:extLst>
        </c:ser>
        <c:ser>
          <c:idx val="1"/>
          <c:order val="1"/>
          <c:tx>
            <c:strRef>
              <c:f>'P. pristis Calc'!$L$1</c:f>
              <c:strCache>
                <c:ptCount val="1"/>
                <c:pt idx="0">
                  <c:v>Morgan 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Calc'!$L$5:$L$29</c:f>
              <c:numCache>
                <c:formatCode>0.00</c:formatCode>
                <c:ptCount val="25"/>
                <c:pt idx="0">
                  <c:v>1254.702</c:v>
                </c:pt>
                <c:pt idx="1">
                  <c:v>1493.9369999999999</c:v>
                </c:pt>
                <c:pt idx="2">
                  <c:v>1733.1719999999998</c:v>
                </c:pt>
                <c:pt idx="3">
                  <c:v>1972.4069999999997</c:v>
                </c:pt>
                <c:pt idx="4">
                  <c:v>2211.6419999999998</c:v>
                </c:pt>
                <c:pt idx="5">
                  <c:v>2450.877</c:v>
                </c:pt>
                <c:pt idx="6">
                  <c:v>2690.1120000000001</c:v>
                </c:pt>
                <c:pt idx="7">
                  <c:v>2929.3469999999998</c:v>
                </c:pt>
                <c:pt idx="8">
                  <c:v>3168.5819999999999</c:v>
                </c:pt>
                <c:pt idx="9">
                  <c:v>3407.817</c:v>
                </c:pt>
                <c:pt idx="10">
                  <c:v>3647.0519999999997</c:v>
                </c:pt>
                <c:pt idx="11">
                  <c:v>3886.2869999999998</c:v>
                </c:pt>
                <c:pt idx="12">
                  <c:v>4125.5219999999999</c:v>
                </c:pt>
                <c:pt idx="13">
                  <c:v>4364.7570000000005</c:v>
                </c:pt>
                <c:pt idx="14">
                  <c:v>4603.9920000000002</c:v>
                </c:pt>
                <c:pt idx="15">
                  <c:v>4843.2270000000008</c:v>
                </c:pt>
                <c:pt idx="16">
                  <c:v>5082.4620000000004</c:v>
                </c:pt>
                <c:pt idx="17">
                  <c:v>5321.6970000000001</c:v>
                </c:pt>
                <c:pt idx="18">
                  <c:v>5560.9320000000007</c:v>
                </c:pt>
                <c:pt idx="19">
                  <c:v>5800.1670000000004</c:v>
                </c:pt>
                <c:pt idx="20">
                  <c:v>6039.402</c:v>
                </c:pt>
                <c:pt idx="21">
                  <c:v>6278.6370000000006</c:v>
                </c:pt>
                <c:pt idx="22">
                  <c:v>6517.8720000000003</c:v>
                </c:pt>
                <c:pt idx="23">
                  <c:v>6757.107</c:v>
                </c:pt>
                <c:pt idx="24">
                  <c:v>6996.3420000000006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3-0946-98BF-80E8172DB0B5}"/>
            </c:ext>
          </c:extLst>
        </c:ser>
        <c:ser>
          <c:idx val="2"/>
          <c:order val="2"/>
          <c:tx>
            <c:strRef>
              <c:f>'P. pristis Calc'!$M$1</c:f>
              <c:strCache>
                <c:ptCount val="1"/>
                <c:pt idx="0">
                  <c:v>Whitty 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Calc'!$M$5:$M$29</c:f>
              <c:numCache>
                <c:formatCode>0.00</c:formatCode>
                <c:ptCount val="25"/>
                <c:pt idx="0">
                  <c:v>1242.969941162647</c:v>
                </c:pt>
                <c:pt idx="1">
                  <c:v>1482.452568018824</c:v>
                </c:pt>
                <c:pt idx="2">
                  <c:v>1726.8936881026432</c:v>
                </c:pt>
                <c:pt idx="3">
                  <c:v>1975.7542976738966</c:v>
                </c:pt>
                <c:pt idx="4">
                  <c:v>2228.608317324657</c:v>
                </c:pt>
                <c:pt idx="5">
                  <c:v>2485.1098237131282</c:v>
                </c:pt>
                <c:pt idx="6">
                  <c:v>2744.9719521803449</c:v>
                </c:pt>
                <c:pt idx="7">
                  <c:v>3007.9526722224314</c:v>
                </c:pt>
                <c:pt idx="8">
                  <c:v>3273.8448331607046</c:v>
                </c:pt>
                <c:pt idx="9">
                  <c:v>3542.468980921084</c:v>
                </c:pt>
                <c:pt idx="10">
                  <c:v>3813.6680391523146</c:v>
                </c:pt>
                <c:pt idx="11">
                  <c:v>4087.303283371331</c:v>
                </c:pt>
                <c:pt idx="12">
                  <c:v>4363.2512355380832</c:v>
                </c:pt>
                <c:pt idx="13">
                  <c:v>4641.4012287522828</c:v>
                </c:pt>
                <c:pt idx="14">
                  <c:v>4921.6534695359342</c:v>
                </c:pt>
                <c:pt idx="15">
                  <c:v>5203.9174760609358</c:v>
                </c:pt>
                <c:pt idx="16">
                  <c:v>5488.1108048354281</c:v>
                </c:pt>
                <c:pt idx="17">
                  <c:v>5774.1580017992956</c:v>
                </c:pt>
                <c:pt idx="18">
                  <c:v>6061.9897301851188</c:v>
                </c:pt>
                <c:pt idx="19">
                  <c:v>6351.5420391910156</c:v>
                </c:pt>
                <c:pt idx="20">
                  <c:v>6642.7557459782956</c:v>
                </c:pt>
                <c:pt idx="21">
                  <c:v>6935.5759097293048</c:v>
                </c:pt>
                <c:pt idx="22">
                  <c:v>7229.9513811337856</c:v>
                </c:pt>
                <c:pt idx="23">
                  <c:v>7525.8344141672769</c:v>
                </c:pt>
                <c:pt idx="24">
                  <c:v>7823.1803296881562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3-0946-98BF-80E8172DB0B5}"/>
            </c:ext>
          </c:extLst>
        </c:ser>
        <c:ser>
          <c:idx val="3"/>
          <c:order val="3"/>
          <c:tx>
            <c:strRef>
              <c:f>'P. pristis Calc'!$N$1</c:f>
              <c:strCache>
                <c:ptCount val="1"/>
                <c:pt idx="0">
                  <c:v>ThorburnM 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Calc'!$N$5:$N$29</c:f>
              <c:numCache>
                <c:formatCode>0.00</c:formatCode>
                <c:ptCount val="25"/>
                <c:pt idx="0">
                  <c:v>1200.7426480723445</c:v>
                </c:pt>
                <c:pt idx="1">
                  <c:v>1447.1017445314303</c:v>
                </c:pt>
                <c:pt idx="2">
                  <c:v>1701.0105910788736</c:v>
                </c:pt>
                <c:pt idx="3">
                  <c:v>1961.7100589218003</c:v>
                </c:pt>
                <c:pt idx="4">
                  <c:v>2228.5948620708941</c:v>
                </c:pt>
                <c:pt idx="5">
                  <c:v>2501.1698173158056</c:v>
                </c:pt>
                <c:pt idx="6">
                  <c:v>2779.0214599347682</c:v>
                </c:pt>
                <c:pt idx="7">
                  <c:v>3061.7987711113938</c:v>
                </c:pt>
                <c:pt idx="8">
                  <c:v>3349.1996051093788</c:v>
                </c:pt>
                <c:pt idx="9">
                  <c:v>3640.9608380317209</c:v>
                </c:pt>
                <c:pt idx="10">
                  <c:v>3936.8510344605547</c:v>
                </c:pt>
                <c:pt idx="11">
                  <c:v>4236.664869438604</c:v>
                </c:pt>
                <c:pt idx="12">
                  <c:v>4540.2188059744112</c:v>
                </c:pt>
                <c:pt idx="13">
                  <c:v>4847.3476907272307</c:v>
                </c:pt>
                <c:pt idx="14">
                  <c:v>5157.9020343268621</c:v>
                </c:pt>
                <c:pt idx="15">
                  <c:v>5471.7458110009093</c:v>
                </c:pt>
                <c:pt idx="16">
                  <c:v>5788.7546581446577</c:v>
                </c:pt>
                <c:pt idx="17">
                  <c:v>6108.8143881273372</c:v>
                </c:pt>
                <c:pt idx="18">
                  <c:v>6431.8197468677272</c:v>
                </c:pt>
                <c:pt idx="19">
                  <c:v>6757.6733696144602</c:v>
                </c:pt>
                <c:pt idx="20">
                  <c:v>7086.2848959186831</c:v>
                </c:pt>
                <c:pt idx="21">
                  <c:v>7417.5702143039953</c:v>
                </c:pt>
                <c:pt idx="22">
                  <c:v>7751.450813499574</c:v>
                </c:pt>
                <c:pt idx="23">
                  <c:v>8087.8532219126737</c:v>
                </c:pt>
                <c:pt idx="24">
                  <c:v>8426.7085206942811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43-0946-98BF-80E8172DB0B5}"/>
            </c:ext>
          </c:extLst>
        </c:ser>
        <c:ser>
          <c:idx val="4"/>
          <c:order val="4"/>
          <c:tx>
            <c:strRef>
              <c:f>'P. pristis Calc'!$O$1</c:f>
              <c:strCache>
                <c:ptCount val="1"/>
                <c:pt idx="0">
                  <c:v>ThorburnF 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Calc'!$O$5:$O$29</c:f>
              <c:numCache>
                <c:formatCode>0.00</c:formatCode>
                <c:ptCount val="25"/>
                <c:pt idx="0">
                  <c:v>1247.4746665646248</c:v>
                </c:pt>
                <c:pt idx="1">
                  <c:v>1477.3124677250607</c:v>
                </c:pt>
                <c:pt idx="2">
                  <c:v>1710.367867470758</c:v>
                </c:pt>
                <c:pt idx="3">
                  <c:v>1946.2733950443767</c:v>
                </c:pt>
                <c:pt idx="4">
                  <c:v>2184.7402665673726</c:v>
                </c:pt>
                <c:pt idx="5">
                  <c:v>2425.5352400733977</c:v>
                </c:pt>
                <c:pt idx="6">
                  <c:v>2668.4657936696231</c:v>
                </c:pt>
                <c:pt idx="7">
                  <c:v>2913.3701798538509</c:v>
                </c:pt>
                <c:pt idx="8">
                  <c:v>3160.1104955038072</c:v>
                </c:pt>
                <c:pt idx="9">
                  <c:v>3408.5677007068543</c:v>
                </c:pt>
                <c:pt idx="10">
                  <c:v>3658.6379437316918</c:v>
                </c:pt>
                <c:pt idx="11">
                  <c:v>3910.2297887074292</c:v>
                </c:pt>
                <c:pt idx="12">
                  <c:v>4163.2620837964841</c:v>
                </c:pt>
                <c:pt idx="13">
                  <c:v>4417.6622942668637</c:v>
                </c:pt>
                <c:pt idx="14">
                  <c:v>4673.3651797855346</c:v>
                </c:pt>
                <c:pt idx="15">
                  <c:v>4930.3117310887219</c:v>
                </c:pt>
                <c:pt idx="16">
                  <c:v>5188.4483051670768</c:v>
                </c:pt>
                <c:pt idx="17">
                  <c:v>5447.7259145182625</c:v>
                </c:pt>
                <c:pt idx="18">
                  <c:v>5708.0996374814731</c:v>
                </c:pt>
                <c:pt idx="19">
                  <c:v>5969.5281248177844</c:v>
                </c:pt>
                <c:pt idx="20">
                  <c:v>6231.9731835887915</c:v>
                </c:pt>
                <c:pt idx="21">
                  <c:v>6495.3994237047255</c:v>
                </c:pt>
                <c:pt idx="22">
                  <c:v>6759.7739557233963</c:v>
                </c:pt>
                <c:pt idx="23">
                  <c:v>7025.0661308968674</c:v>
                </c:pt>
                <c:pt idx="24">
                  <c:v>7291.2473163014483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43-0946-98BF-80E8172DB0B5}"/>
            </c:ext>
          </c:extLst>
        </c:ser>
        <c:ser>
          <c:idx val="5"/>
          <c:order val="5"/>
          <c:tx>
            <c:strRef>
              <c:f>'P. pristis Calc'!$P$1</c:f>
              <c:strCache>
                <c:ptCount val="1"/>
                <c:pt idx="0">
                  <c:v>WhittyL 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Calc'!$P$5:$P$29</c:f>
              <c:numCache>
                <c:formatCode>0.00</c:formatCode>
                <c:ptCount val="25"/>
                <c:pt idx="0">
                  <c:v>1250</c:v>
                </c:pt>
                <c:pt idx="1">
                  <c:v>1458.3333333333335</c:v>
                </c:pt>
                <c:pt idx="2">
                  <c:v>1666.6666666666667</c:v>
                </c:pt>
                <c:pt idx="3">
                  <c:v>1875</c:v>
                </c:pt>
                <c:pt idx="4">
                  <c:v>2083.3333333333335</c:v>
                </c:pt>
                <c:pt idx="5">
                  <c:v>2291.666666666667</c:v>
                </c:pt>
                <c:pt idx="6">
                  <c:v>2500</c:v>
                </c:pt>
                <c:pt idx="7">
                  <c:v>2708.3333333333335</c:v>
                </c:pt>
                <c:pt idx="8">
                  <c:v>2916.666666666667</c:v>
                </c:pt>
                <c:pt idx="9">
                  <c:v>3125</c:v>
                </c:pt>
                <c:pt idx="10">
                  <c:v>3333.3333333333335</c:v>
                </c:pt>
                <c:pt idx="11">
                  <c:v>3541.666666666667</c:v>
                </c:pt>
                <c:pt idx="12">
                  <c:v>3750</c:v>
                </c:pt>
                <c:pt idx="13">
                  <c:v>3958.3333333333335</c:v>
                </c:pt>
                <c:pt idx="14">
                  <c:v>4166.666666666667</c:v>
                </c:pt>
                <c:pt idx="15">
                  <c:v>4375</c:v>
                </c:pt>
                <c:pt idx="16">
                  <c:v>4583.3333333333339</c:v>
                </c:pt>
                <c:pt idx="17">
                  <c:v>4791.666666666667</c:v>
                </c:pt>
                <c:pt idx="18">
                  <c:v>5000</c:v>
                </c:pt>
                <c:pt idx="19">
                  <c:v>5208.3333333333339</c:v>
                </c:pt>
                <c:pt idx="20">
                  <c:v>5416.666666666667</c:v>
                </c:pt>
                <c:pt idx="21">
                  <c:v>5625</c:v>
                </c:pt>
                <c:pt idx="22">
                  <c:v>5833.3333333333339</c:v>
                </c:pt>
                <c:pt idx="23">
                  <c:v>6041.666666666667</c:v>
                </c:pt>
                <c:pt idx="24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85-0F42-A44F-FE2E1704EF75}"/>
            </c:ext>
          </c:extLst>
        </c:ser>
        <c:ser>
          <c:idx val="6"/>
          <c:order val="6"/>
          <c:tx>
            <c:strRef>
              <c:f>'P. pristis Calc'!$Q$1</c:f>
              <c:strCache>
                <c:ptCount val="1"/>
                <c:pt idx="0">
                  <c:v>BiskisL 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Calc'!$Q$5:$Q$29</c:f>
              <c:numCache>
                <c:formatCode>0.00</c:formatCode>
                <c:ptCount val="25"/>
                <c:pt idx="0">
                  <c:v>1232.1200000000001</c:v>
                </c:pt>
                <c:pt idx="1">
                  <c:v>1451.375</c:v>
                </c:pt>
                <c:pt idx="2">
                  <c:v>1670.63</c:v>
                </c:pt>
                <c:pt idx="3">
                  <c:v>1889.8850000000002</c:v>
                </c:pt>
                <c:pt idx="4">
                  <c:v>2109.1400000000003</c:v>
                </c:pt>
                <c:pt idx="5">
                  <c:v>2328.3950000000004</c:v>
                </c:pt>
                <c:pt idx="6">
                  <c:v>2547.6500000000005</c:v>
                </c:pt>
                <c:pt idx="7">
                  <c:v>2766.9050000000007</c:v>
                </c:pt>
                <c:pt idx="8">
                  <c:v>2986.1600000000003</c:v>
                </c:pt>
                <c:pt idx="9">
                  <c:v>3205.4150000000004</c:v>
                </c:pt>
                <c:pt idx="10">
                  <c:v>3424.6700000000005</c:v>
                </c:pt>
                <c:pt idx="11">
                  <c:v>3643.9250000000006</c:v>
                </c:pt>
                <c:pt idx="12">
                  <c:v>3863.1800000000007</c:v>
                </c:pt>
                <c:pt idx="13">
                  <c:v>4082.4350000000004</c:v>
                </c:pt>
                <c:pt idx="14">
                  <c:v>4301.6900000000005</c:v>
                </c:pt>
                <c:pt idx="15">
                  <c:v>4520.9450000000006</c:v>
                </c:pt>
                <c:pt idx="16">
                  <c:v>4740.2000000000007</c:v>
                </c:pt>
                <c:pt idx="17">
                  <c:v>4959.4550000000008</c:v>
                </c:pt>
                <c:pt idx="18">
                  <c:v>5178.7100000000009</c:v>
                </c:pt>
                <c:pt idx="19">
                  <c:v>5397.9650000000011</c:v>
                </c:pt>
                <c:pt idx="20">
                  <c:v>5617.2200000000012</c:v>
                </c:pt>
                <c:pt idx="21">
                  <c:v>5836.4750000000004</c:v>
                </c:pt>
                <c:pt idx="22">
                  <c:v>6055.7300000000005</c:v>
                </c:pt>
                <c:pt idx="23">
                  <c:v>6274.9850000000006</c:v>
                </c:pt>
                <c:pt idx="24">
                  <c:v>6494.2400000000007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1-6F45-81C0-E7F57D879C2C}"/>
            </c:ext>
          </c:extLst>
        </c:ser>
        <c:ser>
          <c:idx val="7"/>
          <c:order val="7"/>
          <c:tx>
            <c:strRef>
              <c:f>'P. pristis Calc'!$R$1</c:f>
              <c:strCache>
                <c:ptCount val="1"/>
                <c:pt idx="0">
                  <c:v>BiskisE 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Calc'!$R$5:$R$29</c:f>
              <c:numCache>
                <c:formatCode>0.00</c:formatCode>
                <c:ptCount val="25"/>
                <c:pt idx="0">
                  <c:v>1223.8897800869913</c:v>
                </c:pt>
                <c:pt idx="1">
                  <c:v>1437.2788377814929</c:v>
                </c:pt>
                <c:pt idx="2">
                  <c:v>1651.9748645592156</c:v>
                </c:pt>
                <c:pt idx="3">
                  <c:v>1867.8201445315583</c:v>
                </c:pt>
                <c:pt idx="4">
                  <c:v>2084.6915912108871</c:v>
                </c:pt>
                <c:pt idx="5">
                  <c:v>2302.4904003035431</c:v>
                </c:pt>
                <c:pt idx="6">
                  <c:v>2521.1354653718718</c:v>
                </c:pt>
                <c:pt idx="7">
                  <c:v>2740.558984567378</c:v>
                </c:pt>
                <c:pt idx="8">
                  <c:v>2960.7034150590216</c:v>
                </c:pt>
                <c:pt idx="9">
                  <c:v>3181.5192941005539</c:v>
                </c:pt>
                <c:pt idx="10">
                  <c:v>3402.9636383164375</c:v>
                </c:pt>
                <c:pt idx="11">
                  <c:v>3624.9987409512651</c:v>
                </c:pt>
                <c:pt idx="12">
                  <c:v>3847.5912503982381</c:v>
                </c:pt>
                <c:pt idx="13">
                  <c:v>4070.711452160499</c:v>
                </c:pt>
                <c:pt idx="14">
                  <c:v>4294.3327009322056</c:v>
                </c:pt>
                <c:pt idx="15">
                  <c:v>4518.4309654400049</c:v>
                </c:pt>
                <c:pt idx="16">
                  <c:v>4742.9844593284752</c:v>
                </c:pt>
                <c:pt idx="17">
                  <c:v>4967.9733386354765</c:v>
                </c:pt>
                <c:pt idx="18">
                  <c:v>5193.3794514601404</c:v>
                </c:pt>
                <c:pt idx="19">
                  <c:v>5419.1861290117204</c:v>
                </c:pt>
                <c:pt idx="20">
                  <c:v>5645.3780098116695</c:v>
                </c:pt>
                <c:pt idx="21">
                  <c:v>5871.9408907119023</c:v>
                </c:pt>
                <c:pt idx="22">
                  <c:v>6098.8615997940342</c:v>
                </c:pt>
                <c:pt idx="23">
                  <c:v>6326.1278872672392</c:v>
                </c:pt>
                <c:pt idx="24">
                  <c:v>6553.7283312813342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1-6F45-81C0-E7F57D879C2C}"/>
            </c:ext>
          </c:extLst>
        </c:ser>
        <c:ser>
          <c:idx val="8"/>
          <c:order val="8"/>
          <c:tx>
            <c:strRef>
              <c:f>'P. pristis Calc'!$S$1</c:f>
              <c:strCache>
                <c:ptCount val="1"/>
                <c:pt idx="0">
                  <c:v>FariaL 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Calc'!$S$5:$S$29</c:f>
              <c:numCache>
                <c:formatCode>0.00</c:formatCode>
                <c:ptCount val="25"/>
                <c:pt idx="0">
                  <c:v>1286.33</c:v>
                </c:pt>
                <c:pt idx="1">
                  <c:v>1565.7800000000002</c:v>
                </c:pt>
                <c:pt idx="2">
                  <c:v>1845.2300000000005</c:v>
                </c:pt>
                <c:pt idx="3">
                  <c:v>2124.6800000000003</c:v>
                </c:pt>
                <c:pt idx="4">
                  <c:v>2404.13</c:v>
                </c:pt>
                <c:pt idx="5">
                  <c:v>2683.5800000000004</c:v>
                </c:pt>
                <c:pt idx="6">
                  <c:v>2963.03</c:v>
                </c:pt>
                <c:pt idx="7">
                  <c:v>3242.4800000000005</c:v>
                </c:pt>
                <c:pt idx="8">
                  <c:v>3521.9300000000003</c:v>
                </c:pt>
                <c:pt idx="9">
                  <c:v>3801.38</c:v>
                </c:pt>
                <c:pt idx="10">
                  <c:v>4080.8300000000008</c:v>
                </c:pt>
                <c:pt idx="11">
                  <c:v>4360.2800000000007</c:v>
                </c:pt>
                <c:pt idx="12">
                  <c:v>4639.7300000000005</c:v>
                </c:pt>
                <c:pt idx="13">
                  <c:v>4919.18</c:v>
                </c:pt>
                <c:pt idx="14">
                  <c:v>5198.63</c:v>
                </c:pt>
                <c:pt idx="15">
                  <c:v>5478.0800000000008</c:v>
                </c:pt>
                <c:pt idx="16">
                  <c:v>5757.5300000000007</c:v>
                </c:pt>
                <c:pt idx="17">
                  <c:v>6036.9800000000005</c:v>
                </c:pt>
                <c:pt idx="18">
                  <c:v>6316.43</c:v>
                </c:pt>
                <c:pt idx="19">
                  <c:v>6595.880000000001</c:v>
                </c:pt>
                <c:pt idx="20">
                  <c:v>6875.3300000000008</c:v>
                </c:pt>
                <c:pt idx="21">
                  <c:v>7154.7800000000007</c:v>
                </c:pt>
                <c:pt idx="22">
                  <c:v>7434.2300000000005</c:v>
                </c:pt>
                <c:pt idx="23">
                  <c:v>7713.68</c:v>
                </c:pt>
                <c:pt idx="24">
                  <c:v>7993.13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1-6F45-81C0-E7F57D879C2C}"/>
            </c:ext>
          </c:extLst>
        </c:ser>
        <c:ser>
          <c:idx val="9"/>
          <c:order val="9"/>
          <c:tx>
            <c:strRef>
              <c:f>'P. pristis Calc'!$T$1</c:f>
              <c:strCache>
                <c:ptCount val="1"/>
                <c:pt idx="0">
                  <c:v>FariaE 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Calc'!$J$5:$J$29</c:f>
              <c:numCache>
                <c:formatCode>General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  <c:pt idx="19">
                  <c:v>1250</c:v>
                </c:pt>
                <c:pt idx="20">
                  <c:v>1300</c:v>
                </c:pt>
                <c:pt idx="21">
                  <c:v>1350</c:v>
                </c:pt>
                <c:pt idx="22">
                  <c:v>1400</c:v>
                </c:pt>
                <c:pt idx="23">
                  <c:v>1450</c:v>
                </c:pt>
                <c:pt idx="24">
                  <c:v>1500</c:v>
                </c:pt>
              </c:numCache>
            </c:numRef>
          </c:xVal>
          <c:yVal>
            <c:numRef>
              <c:f>'P. pristis Calc'!$T$5:$T$29</c:f>
              <c:numCache>
                <c:formatCode>0.00</c:formatCode>
                <c:ptCount val="25"/>
                <c:pt idx="0">
                  <c:v>1366.7962954436839</c:v>
                </c:pt>
                <c:pt idx="1">
                  <c:v>1643.8893186770854</c:v>
                </c:pt>
                <c:pt idx="2">
                  <c:v>1928.9364958695976</c:v>
                </c:pt>
                <c:pt idx="3">
                  <c:v>2221.1253854656525</c:v>
                </c:pt>
                <c:pt idx="4">
                  <c:v>2519.8092780067886</c:v>
                </c:pt>
                <c:pt idx="5">
                  <c:v>2824.4598863434267</c:v>
                </c:pt>
                <c:pt idx="6">
                  <c:v>3134.6366918095418</c:v>
                </c:pt>
                <c:pt idx="7">
                  <c:v>3449.9661590646297</c:v>
                </c:pt>
                <c:pt idx="8">
                  <c:v>3770.127116071993</c:v>
                </c:pt>
                <c:pt idx="9">
                  <c:v>4094.8401547254289</c:v>
                </c:pt>
                <c:pt idx="10">
                  <c:v>4423.8597487276411</c:v>
                </c:pt>
                <c:pt idx="11">
                  <c:v>4756.9682639010489</c:v>
                </c:pt>
                <c:pt idx="12">
                  <c:v>5093.9713208178791</c:v>
                </c:pt>
                <c:pt idx="13">
                  <c:v>5434.6941455398528</c:v>
                </c:pt>
                <c:pt idx="14">
                  <c:v>5778.9786565364884</c:v>
                </c:pt>
                <c:pt idx="15">
                  <c:v>6126.6811095808644</c:v>
                </c:pt>
                <c:pt idx="16">
                  <c:v>6477.6701720590108</c:v>
                </c:pt>
                <c:pt idx="17">
                  <c:v>6831.8253322948194</c:v>
                </c:pt>
                <c:pt idx="18">
                  <c:v>7189.0355734751365</c:v>
                </c:pt>
                <c:pt idx="19">
                  <c:v>7549.1982588981427</c:v>
                </c:pt>
                <c:pt idx="20">
                  <c:v>7912.2181877107714</c:v>
                </c:pt>
                <c:pt idx="21">
                  <c:v>8278.0067894680578</c:v>
                </c:pt>
                <c:pt idx="22">
                  <c:v>8646.4814326915148</c:v>
                </c:pt>
                <c:pt idx="23">
                  <c:v>9017.5648277749278</c:v>
                </c:pt>
                <c:pt idx="24">
                  <c:v>9391.1845085376699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1-6F45-81C0-E7F57D87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34560"/>
        <c:axId val="617236208"/>
      </c:scatterChart>
      <c:valAx>
        <c:axId val="61723456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36208"/>
        <c:crosses val="autoZero"/>
        <c:crossBetween val="midCat"/>
      </c:valAx>
      <c:valAx>
        <c:axId val="6172362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3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'P. pristis Calc'!$W$1</c:f>
              <c:strCache>
                <c:ptCount val="1"/>
                <c:pt idx="0">
                  <c:v>Pev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Calc'!$W$5:$W$1003</c:f>
              <c:numCache>
                <c:formatCode>General</c:formatCode>
                <c:ptCount val="999"/>
                <c:pt idx="0">
                  <c:v>1369.4299999999998</c:v>
                </c:pt>
                <c:pt idx="1">
                  <c:v>1577.4199999999998</c:v>
                </c:pt>
                <c:pt idx="2">
                  <c:v>1785.4099999999999</c:v>
                </c:pt>
                <c:pt idx="3">
                  <c:v>1993.3999999999999</c:v>
                </c:pt>
                <c:pt idx="4">
                  <c:v>2201.3899999999994</c:v>
                </c:pt>
                <c:pt idx="5">
                  <c:v>2409.3799999999997</c:v>
                </c:pt>
                <c:pt idx="6">
                  <c:v>2617.3699999999994</c:v>
                </c:pt>
                <c:pt idx="7">
                  <c:v>2825.3599999999997</c:v>
                </c:pt>
                <c:pt idx="8">
                  <c:v>3033.3499999999995</c:v>
                </c:pt>
                <c:pt idx="9">
                  <c:v>3241.3399999999997</c:v>
                </c:pt>
                <c:pt idx="10">
                  <c:v>3449.3299999999995</c:v>
                </c:pt>
                <c:pt idx="11">
                  <c:v>3657.3199999999997</c:v>
                </c:pt>
                <c:pt idx="12">
                  <c:v>3865.3099999999995</c:v>
                </c:pt>
                <c:pt idx="13">
                  <c:v>4073.2999999999997</c:v>
                </c:pt>
                <c:pt idx="14">
                  <c:v>4281.2899999999991</c:v>
                </c:pt>
                <c:pt idx="15">
                  <c:v>4489.28</c:v>
                </c:pt>
                <c:pt idx="16">
                  <c:v>4697.2699999999995</c:v>
                </c:pt>
                <c:pt idx="17">
                  <c:v>4905.2599999999993</c:v>
                </c:pt>
                <c:pt idx="18">
                  <c:v>5113.2499999999991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F-2B45-8237-5ECBD6258CAA}"/>
            </c:ext>
          </c:extLst>
        </c:ser>
        <c:ser>
          <c:idx val="1"/>
          <c:order val="1"/>
          <c:tx>
            <c:strRef>
              <c:f>'P. pristis Calc'!$X$1</c:f>
              <c:strCache>
                <c:ptCount val="1"/>
                <c:pt idx="0">
                  <c:v>Morg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Calc'!$X$5:$X$1003</c:f>
              <c:numCache>
                <c:formatCode>General</c:formatCode>
                <c:ptCount val="999"/>
                <c:pt idx="0">
                  <c:v>1396.662</c:v>
                </c:pt>
                <c:pt idx="1">
                  <c:v>1659.557</c:v>
                </c:pt>
                <c:pt idx="2">
                  <c:v>1922.4520000000002</c:v>
                </c:pt>
                <c:pt idx="3">
                  <c:v>2185.3470000000002</c:v>
                </c:pt>
                <c:pt idx="4">
                  <c:v>2448.2420000000002</c:v>
                </c:pt>
                <c:pt idx="5">
                  <c:v>2711.1370000000002</c:v>
                </c:pt>
                <c:pt idx="6">
                  <c:v>2974.0320000000002</c:v>
                </c:pt>
                <c:pt idx="7">
                  <c:v>3236.9270000000001</c:v>
                </c:pt>
                <c:pt idx="8">
                  <c:v>3499.8220000000001</c:v>
                </c:pt>
                <c:pt idx="9">
                  <c:v>3762.7170000000001</c:v>
                </c:pt>
                <c:pt idx="10">
                  <c:v>4025.6120000000005</c:v>
                </c:pt>
                <c:pt idx="11">
                  <c:v>4288.5070000000005</c:v>
                </c:pt>
                <c:pt idx="12">
                  <c:v>4551.402000000001</c:v>
                </c:pt>
                <c:pt idx="13">
                  <c:v>4814.2970000000005</c:v>
                </c:pt>
                <c:pt idx="14">
                  <c:v>5077.1920000000009</c:v>
                </c:pt>
                <c:pt idx="15">
                  <c:v>5340.0870000000004</c:v>
                </c:pt>
                <c:pt idx="16">
                  <c:v>5602.9820000000009</c:v>
                </c:pt>
                <c:pt idx="17">
                  <c:v>5865.8770000000004</c:v>
                </c:pt>
                <c:pt idx="18">
                  <c:v>6128.7720000000008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F-2B45-8237-5ECBD6258CAA}"/>
            </c:ext>
          </c:extLst>
        </c:ser>
        <c:ser>
          <c:idx val="2"/>
          <c:order val="2"/>
          <c:tx>
            <c:strRef>
              <c:f>'P. pristis Calc'!$Y$1</c:f>
              <c:strCache>
                <c:ptCount val="1"/>
                <c:pt idx="0">
                  <c:v>Whitty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Calc'!$Y$5:$Y$1003</c:f>
              <c:numCache>
                <c:formatCode>General</c:formatCode>
                <c:ptCount val="999"/>
                <c:pt idx="0">
                  <c:v>1317.9196840977086</c:v>
                </c:pt>
                <c:pt idx="1">
                  <c:v>1571.8428543056348</c:v>
                </c:pt>
                <c:pt idx="2">
                  <c:v>1831.023509519244</c:v>
                </c:pt>
                <c:pt idx="3">
                  <c:v>2094.8901446558348</c:v>
                </c:pt>
                <c:pt idx="4">
                  <c:v>2362.9909881800604</c:v>
                </c:pt>
                <c:pt idx="5">
                  <c:v>2634.9592579468053</c:v>
                </c:pt>
                <c:pt idx="6">
                  <c:v>2910.4907916684729</c:v>
                </c:pt>
                <c:pt idx="7">
                  <c:v>3189.3289646635976</c:v>
                </c:pt>
                <c:pt idx="8">
                  <c:v>3471.2541352916551</c:v>
                </c:pt>
                <c:pt idx="9">
                  <c:v>3756.0760285920155</c:v>
                </c:pt>
                <c:pt idx="10">
                  <c:v>4043.6280966793402</c:v>
                </c:pt>
                <c:pt idx="11">
                  <c:v>4333.7632501342987</c:v>
                </c:pt>
                <c:pt idx="12">
                  <c:v>4626.350565324592</c:v>
                </c:pt>
                <c:pt idx="13">
                  <c:v>4921.2727022555528</c:v>
                </c:pt>
                <c:pt idx="14">
                  <c:v>5218.4238500103975</c:v>
                </c:pt>
                <c:pt idx="15">
                  <c:v>5517.7080708046942</c:v>
                </c:pt>
                <c:pt idx="16">
                  <c:v>5819.0379498931634</c:v>
                </c:pt>
                <c:pt idx="17">
                  <c:v>6122.333483417513</c:v>
                </c:pt>
                <c:pt idx="18">
                  <c:v>6427.5211536782517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2F-2B45-8237-5ECBD6258CAA}"/>
            </c:ext>
          </c:extLst>
        </c:ser>
        <c:ser>
          <c:idx val="3"/>
          <c:order val="3"/>
          <c:tx>
            <c:strRef>
              <c:f>'P. pristis Calc'!$Z$1</c:f>
              <c:strCache>
                <c:ptCount val="1"/>
                <c:pt idx="0">
                  <c:v>ThorM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Calc'!$Z$5:$Z$1003</c:f>
              <c:numCache>
                <c:formatCode>General</c:formatCode>
                <c:ptCount val="999"/>
                <c:pt idx="0">
                  <c:v>1280.2620485680372</c:v>
                </c:pt>
                <c:pt idx="1">
                  <c:v>1543.0195689310374</c:v>
                </c:pt>
                <c:pt idx="2">
                  <c:v>1813.8429515277737</c:v>
                </c:pt>
                <c:pt idx="3">
                  <c:v>2091.9215141054819</c:v>
                </c:pt>
                <c:pt idx="4">
                  <c:v>2376.6088360458625</c:v>
                </c:pt>
                <c:pt idx="5">
                  <c:v>2667.3760610977547</c:v>
                </c:pt>
                <c:pt idx="6">
                  <c:v>2963.7815928024743</c:v>
                </c:pt>
                <c:pt idx="7">
                  <c:v>3265.4505173132216</c:v>
                </c:pt>
                <c:pt idx="8">
                  <c:v>3572.0601113239827</c:v>
                </c:pt>
                <c:pt idx="9">
                  <c:v>3883.3293233196364</c:v>
                </c:pt>
                <c:pt idx="10">
                  <c:v>4199.0109430997773</c:v>
                </c:pt>
                <c:pt idx="11">
                  <c:v>4518.8856454842244</c:v>
                </c:pt>
                <c:pt idx="12">
                  <c:v>4842.757374576523</c:v>
                </c:pt>
                <c:pt idx="13">
                  <c:v>5170.4497084167069</c:v>
                </c:pt>
                <c:pt idx="14">
                  <c:v>5501.8029546707348</c:v>
                </c:pt>
                <c:pt idx="15">
                  <c:v>5836.6718008352782</c:v>
                </c:pt>
                <c:pt idx="16">
                  <c:v>6174.9233915086006</c:v>
                </c:pt>
                <c:pt idx="17">
                  <c:v>6516.4357390791629</c:v>
                </c:pt>
                <c:pt idx="18">
                  <c:v>6861.0963979285325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2F-2B45-8237-5ECBD6258CAA}"/>
            </c:ext>
          </c:extLst>
        </c:ser>
        <c:ser>
          <c:idx val="4"/>
          <c:order val="4"/>
          <c:tx>
            <c:strRef>
              <c:f>'P. pristis Calc'!$AA$1</c:f>
              <c:strCache>
                <c:ptCount val="1"/>
                <c:pt idx="0">
                  <c:v>ThorF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Calc'!$AA$5:$AA$1003</c:f>
              <c:numCache>
                <c:formatCode>General</c:formatCode>
                <c:ptCount val="999"/>
                <c:pt idx="0">
                  <c:v>1319.6940049127575</c:v>
                </c:pt>
                <c:pt idx="1">
                  <c:v>1562.8376746187287</c:v>
                </c:pt>
                <c:pt idx="2">
                  <c:v>1809.3852175070554</c:v>
                </c:pt>
                <c:pt idx="3">
                  <c:v>2058.9478890457322</c:v>
                </c:pt>
                <c:pt idx="4">
                  <c:v>2311.2201869560745</c:v>
                </c:pt>
                <c:pt idx="5">
                  <c:v>2565.9553663278029</c:v>
                </c:pt>
                <c:pt idx="6">
                  <c:v>2822.9497597081117</c:v>
                </c:pt>
                <c:pt idx="7">
                  <c:v>3082.0322556390392</c:v>
                </c:pt>
                <c:pt idx="8">
                  <c:v>3343.0569674516214</c:v>
                </c:pt>
                <c:pt idx="9">
                  <c:v>3605.897963723552</c:v>
                </c:pt>
                <c:pt idx="10">
                  <c:v>3870.4453804945665</c:v>
                </c:pt>
                <c:pt idx="11">
                  <c:v>4136.6024884491271</c:v>
                </c:pt>
                <c:pt idx="12">
                  <c:v>4404.2834376726696</c:v>
                </c:pt>
                <c:pt idx="13">
                  <c:v>4673.4114942213937</c:v>
                </c:pt>
                <c:pt idx="14">
                  <c:v>4943.9176408409166</c:v>
                </c:pt>
                <c:pt idx="15">
                  <c:v>5215.7394520778907</c:v>
                </c:pt>
                <c:pt idx="16">
                  <c:v>5488.8201793988374</c:v>
                </c:pt>
                <c:pt idx="17">
                  <c:v>5763.1079992959358</c:v>
                </c:pt>
                <c:pt idx="18">
                  <c:v>6038.5553894843306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2F-2B45-8237-5ECBD6258CAA}"/>
            </c:ext>
          </c:extLst>
        </c:ser>
        <c:ser>
          <c:idx val="5"/>
          <c:order val="5"/>
          <c:tx>
            <c:strRef>
              <c:f>'P. pristis Calc'!$AB$1</c:f>
              <c:strCache>
                <c:ptCount val="1"/>
                <c:pt idx="0">
                  <c:v>WhittyL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Calc'!$AB$5:$AB$1003</c:f>
              <c:numCache>
                <c:formatCode>General</c:formatCode>
                <c:ptCount val="999"/>
                <c:pt idx="0">
                  <c:v>1304.3478260869565</c:v>
                </c:pt>
                <c:pt idx="1">
                  <c:v>1521.7391304347825</c:v>
                </c:pt>
                <c:pt idx="2">
                  <c:v>1739.1304347826085</c:v>
                </c:pt>
                <c:pt idx="3">
                  <c:v>1956.5217391304348</c:v>
                </c:pt>
                <c:pt idx="4">
                  <c:v>2173.913043478261</c:v>
                </c:pt>
                <c:pt idx="5">
                  <c:v>2391.304347826087</c:v>
                </c:pt>
                <c:pt idx="6">
                  <c:v>2608.695652173913</c:v>
                </c:pt>
                <c:pt idx="7">
                  <c:v>2826.086956521739</c:v>
                </c:pt>
                <c:pt idx="8">
                  <c:v>3043.478260869565</c:v>
                </c:pt>
                <c:pt idx="9">
                  <c:v>3260.869565217391</c:v>
                </c:pt>
                <c:pt idx="10">
                  <c:v>3478.260869565217</c:v>
                </c:pt>
                <c:pt idx="11">
                  <c:v>3695.6521739130435</c:v>
                </c:pt>
                <c:pt idx="12">
                  <c:v>3913.0434782608695</c:v>
                </c:pt>
                <c:pt idx="13">
                  <c:v>4130.4347826086951</c:v>
                </c:pt>
                <c:pt idx="14">
                  <c:v>4347.826086956522</c:v>
                </c:pt>
                <c:pt idx="15">
                  <c:v>4565.217391304348</c:v>
                </c:pt>
                <c:pt idx="16">
                  <c:v>4782.608695652174</c:v>
                </c:pt>
                <c:pt idx="17">
                  <c:v>5000</c:v>
                </c:pt>
                <c:pt idx="18">
                  <c:v>5217.391304347826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2F-2B45-8237-5ECBD6258CAA}"/>
            </c:ext>
          </c:extLst>
        </c:ser>
        <c:ser>
          <c:idx val="6"/>
          <c:order val="6"/>
          <c:tx>
            <c:strRef>
              <c:f>'P. pristis Calc'!$AC$1</c:f>
              <c:strCache>
                <c:ptCount val="1"/>
                <c:pt idx="0">
                  <c:v>Biskis L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Calc'!$AC$5:$AC$1003</c:f>
              <c:numCache>
                <c:formatCode>General</c:formatCode>
                <c:ptCount val="999"/>
                <c:pt idx="0">
                  <c:v>1296.346</c:v>
                </c:pt>
                <c:pt idx="1">
                  <c:v>1527.001</c:v>
                </c:pt>
                <c:pt idx="2">
                  <c:v>1757.6559999999999</c:v>
                </c:pt>
                <c:pt idx="3">
                  <c:v>1988.3109999999999</c:v>
                </c:pt>
                <c:pt idx="4">
                  <c:v>2218.9660000000003</c:v>
                </c:pt>
                <c:pt idx="5">
                  <c:v>2449.6210000000001</c:v>
                </c:pt>
                <c:pt idx="6">
                  <c:v>2680.2760000000003</c:v>
                </c:pt>
                <c:pt idx="7">
                  <c:v>2910.9310000000005</c:v>
                </c:pt>
                <c:pt idx="8">
                  <c:v>3141.5860000000002</c:v>
                </c:pt>
                <c:pt idx="9">
                  <c:v>3372.2410000000004</c:v>
                </c:pt>
                <c:pt idx="10">
                  <c:v>3602.8960000000002</c:v>
                </c:pt>
                <c:pt idx="11">
                  <c:v>3833.5510000000004</c:v>
                </c:pt>
                <c:pt idx="12">
                  <c:v>4064.2060000000001</c:v>
                </c:pt>
                <c:pt idx="13">
                  <c:v>4294.8610000000008</c:v>
                </c:pt>
                <c:pt idx="14">
                  <c:v>4525.5160000000005</c:v>
                </c:pt>
                <c:pt idx="15">
                  <c:v>4756.1710000000003</c:v>
                </c:pt>
                <c:pt idx="16">
                  <c:v>4986.826</c:v>
                </c:pt>
                <c:pt idx="17">
                  <c:v>5217.4810000000007</c:v>
                </c:pt>
                <c:pt idx="18">
                  <c:v>5448.1360000000004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2F-2B45-8237-5ECBD6258CAA}"/>
            </c:ext>
          </c:extLst>
        </c:ser>
        <c:ser>
          <c:idx val="7"/>
          <c:order val="7"/>
          <c:tx>
            <c:strRef>
              <c:f>'P. pristis Calc'!$AD$1</c:f>
              <c:strCache>
                <c:ptCount val="1"/>
                <c:pt idx="0">
                  <c:v>Biskis E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Calc'!$AD$5:$AD$1003</c:f>
              <c:numCache>
                <c:formatCode>General</c:formatCode>
                <c:ptCount val="999"/>
                <c:pt idx="0">
                  <c:v>1285.4709694171215</c:v>
                </c:pt>
                <c:pt idx="1">
                  <c:v>1511.203423833394</c:v>
                </c:pt>
                <c:pt idx="2">
                  <c:v>1738.5431621624271</c:v>
                </c:pt>
                <c:pt idx="3">
                  <c:v>1967.2975428874117</c:v>
                </c:pt>
                <c:pt idx="4">
                  <c:v>2197.3160899728168</c:v>
                </c:pt>
                <c:pt idx="5">
                  <c:v>2428.4779187360987</c:v>
                </c:pt>
                <c:pt idx="6">
                  <c:v>2660.6837279854781</c:v>
                </c:pt>
                <c:pt idx="7">
                  <c:v>2893.8504530988507</c:v>
                </c:pt>
                <c:pt idx="8">
                  <c:v>3127.9075569420647</c:v>
                </c:pt>
                <c:pt idx="9">
                  <c:v>3362.7943746645637</c:v>
                </c:pt>
                <c:pt idx="10">
                  <c:v>3598.4581620411468</c:v>
                </c:pt>
                <c:pt idx="11">
                  <c:v>3834.8526282903022</c:v>
                </c:pt>
                <c:pt idx="12">
                  <c:v>4071.9368114861413</c:v>
                </c:pt>
                <c:pt idx="13">
                  <c:v>4309.6742018614304</c:v>
                </c:pt>
                <c:pt idx="14">
                  <c:v>4548.0320481156423</c:v>
                </c:pt>
                <c:pt idx="15">
                  <c:v>4786.9808012399671</c:v>
                </c:pt>
                <c:pt idx="16">
                  <c:v>5026.4936633170428</c:v>
                </c:pt>
                <c:pt idx="17">
                  <c:v>5266.5462175903976</c:v>
                </c:pt>
                <c:pt idx="18">
                  <c:v>5507.1161222541532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2F-2B45-8237-5ECBD6258CAA}"/>
            </c:ext>
          </c:extLst>
        </c:ser>
        <c:ser>
          <c:idx val="8"/>
          <c:order val="8"/>
          <c:tx>
            <c:strRef>
              <c:f>'P. pristis Calc'!$AE$1</c:f>
              <c:strCache>
                <c:ptCount val="1"/>
                <c:pt idx="0">
                  <c:v>Faria L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Calc'!$AE$5:$AE$1003</c:f>
              <c:numCache>
                <c:formatCode>General</c:formatCode>
                <c:ptCount val="999"/>
                <c:pt idx="0">
                  <c:v>1348.6</c:v>
                </c:pt>
                <c:pt idx="1">
                  <c:v>1621.5950000000003</c:v>
                </c:pt>
                <c:pt idx="2">
                  <c:v>1894.5900000000001</c:v>
                </c:pt>
                <c:pt idx="3">
                  <c:v>2167.585</c:v>
                </c:pt>
                <c:pt idx="4">
                  <c:v>2440.5800000000004</c:v>
                </c:pt>
                <c:pt idx="5">
                  <c:v>2713.5750000000003</c:v>
                </c:pt>
                <c:pt idx="6">
                  <c:v>2986.57</c:v>
                </c:pt>
                <c:pt idx="7">
                  <c:v>3259.5650000000001</c:v>
                </c:pt>
                <c:pt idx="8">
                  <c:v>3532.5600000000004</c:v>
                </c:pt>
                <c:pt idx="9">
                  <c:v>3805.5550000000003</c:v>
                </c:pt>
                <c:pt idx="10">
                  <c:v>4078.55</c:v>
                </c:pt>
                <c:pt idx="11">
                  <c:v>4351.5450000000001</c:v>
                </c:pt>
                <c:pt idx="12">
                  <c:v>4624.54</c:v>
                </c:pt>
                <c:pt idx="13">
                  <c:v>4897.5349999999999</c:v>
                </c:pt>
                <c:pt idx="14">
                  <c:v>5170.5300000000007</c:v>
                </c:pt>
                <c:pt idx="15">
                  <c:v>5443.5250000000005</c:v>
                </c:pt>
                <c:pt idx="16">
                  <c:v>5716.52</c:v>
                </c:pt>
                <c:pt idx="17">
                  <c:v>5989.5150000000003</c:v>
                </c:pt>
                <c:pt idx="18">
                  <c:v>6262.51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2F-2B45-8237-5ECBD6258CAA}"/>
            </c:ext>
          </c:extLst>
        </c:ser>
        <c:ser>
          <c:idx val="9"/>
          <c:order val="9"/>
          <c:tx>
            <c:strRef>
              <c:f>'P. pristis Calc'!$AF$1</c:f>
              <c:strCache>
                <c:ptCount val="1"/>
                <c:pt idx="0">
                  <c:v>Faria E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'P. pristis Calc'!$V$5:$V$1003</c:f>
              <c:numCache>
                <c:formatCode>General</c:formatCode>
                <c:ptCount val="999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  <c:pt idx="17">
                  <c:v>1150</c:v>
                </c:pt>
                <c:pt idx="18">
                  <c:v>1200</c:v>
                </c:pt>
              </c:numCache>
            </c:numRef>
          </c:xVal>
          <c:yVal>
            <c:numRef>
              <c:f>'P. pristis Calc'!$AF$5:$AF$1003</c:f>
              <c:numCache>
                <c:formatCode>General</c:formatCode>
                <c:ptCount val="999"/>
                <c:pt idx="0">
                  <c:v>1256.1664495956293</c:v>
                </c:pt>
                <c:pt idx="1">
                  <c:v>1523.7184930875339</c:v>
                </c:pt>
                <c:pt idx="2">
                  <c:v>1801.1316229488596</c:v>
                </c:pt>
                <c:pt idx="3">
                  <c:v>2087.4645117628102</c:v>
                </c:pt>
                <c:pt idx="4">
                  <c:v>2381.9625748462104</c:v>
                </c:pt>
                <c:pt idx="5">
                  <c:v>2684.0055592989352</c:v>
                </c:pt>
                <c:pt idx="6">
                  <c:v>2993.0733662961711</c:v>
                </c:pt>
                <c:pt idx="7">
                  <c:v>3308.7227435265004</c:v>
                </c:pt>
                <c:pt idx="8">
                  <c:v>3630.5708060116826</c:v>
                </c:pt>
                <c:pt idx="9">
                  <c:v>3958.2830324271476</c:v>
                </c:pt>
                <c:pt idx="10">
                  <c:v>4291.56429992014</c:v>
                </c:pt>
                <c:pt idx="11">
                  <c:v>4630.1520440131599</c:v>
                </c:pt>
                <c:pt idx="12">
                  <c:v>4973.8109430139384</c:v>
                </c:pt>
                <c:pt idx="13">
                  <c:v>5322.3287204067701</c:v>
                </c:pt>
                <c:pt idx="14">
                  <c:v>5675.5127830244628</c:v>
                </c:pt>
                <c:pt idx="15">
                  <c:v>6033.1874947234382</c:v>
                </c:pt>
                <c:pt idx="16">
                  <c:v>6395.1919406178458</c:v>
                </c:pt>
                <c:pt idx="17">
                  <c:v>6761.3780751311569</c:v>
                </c:pt>
                <c:pt idx="18">
                  <c:v>7131.6091740193469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2F-2B45-8237-5ECBD625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872848"/>
        <c:axId val="1398963712"/>
      </c:scatterChart>
      <c:valAx>
        <c:axId val="139887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963712"/>
        <c:crosses val="autoZero"/>
        <c:crossBetween val="midCat"/>
      </c:valAx>
      <c:valAx>
        <c:axId val="13989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7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Length vs. TRL</a:t>
            </a:r>
          </a:p>
        </c:rich>
      </c:tx>
      <c:layout>
        <c:manualLayout>
          <c:xMode val="edge"/>
          <c:yMode val="edge"/>
          <c:x val="0.30810316423312079"/>
          <c:y val="2.3455935572721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143651138704"/>
          <c:y val="0.10432858120977934"/>
          <c:w val="0.81726512914602634"/>
          <c:h val="0.599729914523439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'P. zijsron Calc'!$I$1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Calc'!$I$2:$I$35</c:f>
              <c:numCache>
                <c:formatCode>0.00</c:formatCode>
                <c:ptCount val="34"/>
                <c:pt idx="0">
                  <c:v>743.68100000000004</c:v>
                </c:pt>
                <c:pt idx="1">
                  <c:v>916.39599999999996</c:v>
                </c:pt>
                <c:pt idx="2">
                  <c:v>1089.1109999999999</c:v>
                </c:pt>
                <c:pt idx="3">
                  <c:v>1261.826</c:v>
                </c:pt>
                <c:pt idx="4">
                  <c:v>1434.5409999999999</c:v>
                </c:pt>
                <c:pt idx="5">
                  <c:v>1607.2560000000001</c:v>
                </c:pt>
                <c:pt idx="6">
                  <c:v>1779.971</c:v>
                </c:pt>
                <c:pt idx="7">
                  <c:v>1952.6859999999999</c:v>
                </c:pt>
                <c:pt idx="8">
                  <c:v>2125.4009999999998</c:v>
                </c:pt>
                <c:pt idx="9">
                  <c:v>2298.116</c:v>
                </c:pt>
                <c:pt idx="10">
                  <c:v>2470.8310000000001</c:v>
                </c:pt>
                <c:pt idx="11">
                  <c:v>2643.5459999999998</c:v>
                </c:pt>
                <c:pt idx="12">
                  <c:v>2816.261</c:v>
                </c:pt>
                <c:pt idx="13">
                  <c:v>2988.9760000000001</c:v>
                </c:pt>
                <c:pt idx="14">
                  <c:v>3161.6909999999998</c:v>
                </c:pt>
                <c:pt idx="15">
                  <c:v>3334.4059999999999</c:v>
                </c:pt>
                <c:pt idx="16">
                  <c:v>3507.1210000000001</c:v>
                </c:pt>
                <c:pt idx="17">
                  <c:v>3679.8359999999998</c:v>
                </c:pt>
                <c:pt idx="18">
                  <c:v>3852.5509999999999</c:v>
                </c:pt>
                <c:pt idx="19">
                  <c:v>4025.2660000000001</c:v>
                </c:pt>
                <c:pt idx="20">
                  <c:v>4197.9809999999998</c:v>
                </c:pt>
                <c:pt idx="21">
                  <c:v>4370.6959999999999</c:v>
                </c:pt>
                <c:pt idx="22">
                  <c:v>4543.4110000000001</c:v>
                </c:pt>
                <c:pt idx="23">
                  <c:v>4716.1260000000002</c:v>
                </c:pt>
                <c:pt idx="24">
                  <c:v>4888.8410000000003</c:v>
                </c:pt>
                <c:pt idx="25">
                  <c:v>5061.5559999999996</c:v>
                </c:pt>
                <c:pt idx="26">
                  <c:v>5234.2709999999997</c:v>
                </c:pt>
                <c:pt idx="27">
                  <c:v>5406.9859999999999</c:v>
                </c:pt>
                <c:pt idx="28">
                  <c:v>5579.701</c:v>
                </c:pt>
                <c:pt idx="29">
                  <c:v>5752.4160000000002</c:v>
                </c:pt>
                <c:pt idx="30">
                  <c:v>5925.1310000000003</c:v>
                </c:pt>
                <c:pt idx="31">
                  <c:v>6097.8459999999995</c:v>
                </c:pt>
                <c:pt idx="32">
                  <c:v>6270.5609999999997</c:v>
                </c:pt>
                <c:pt idx="33">
                  <c:v>6443.2759999999998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3-D145-8499-1BA8C658939D}"/>
            </c:ext>
          </c:extLst>
        </c:ser>
        <c:ser>
          <c:idx val="1"/>
          <c:order val="1"/>
          <c:tx>
            <c:strRef>
              <c:f>'P. zijsron Calc'!$J$1</c:f>
              <c:strCache>
                <c:ptCount val="1"/>
                <c:pt idx="0">
                  <c:v>TL Faria Linear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Calc'!$J$2:$J$35</c:f>
              <c:numCache>
                <c:formatCode>0.00</c:formatCode>
                <c:ptCount val="34"/>
                <c:pt idx="0">
                  <c:v>697.86</c:v>
                </c:pt>
                <c:pt idx="1">
                  <c:v>869.12</c:v>
                </c:pt>
                <c:pt idx="2">
                  <c:v>1040.3799999999999</c:v>
                </c:pt>
                <c:pt idx="3">
                  <c:v>1211.6399999999999</c:v>
                </c:pt>
                <c:pt idx="4">
                  <c:v>1382.8999999999999</c:v>
                </c:pt>
                <c:pt idx="5">
                  <c:v>1554.1599999999999</c:v>
                </c:pt>
                <c:pt idx="6">
                  <c:v>1725.4199999999998</c:v>
                </c:pt>
                <c:pt idx="7">
                  <c:v>1896.6799999999998</c:v>
                </c:pt>
                <c:pt idx="8">
                  <c:v>2067.94</c:v>
                </c:pt>
                <c:pt idx="9">
                  <c:v>2239.1999999999998</c:v>
                </c:pt>
                <c:pt idx="10">
                  <c:v>2410.4599999999996</c:v>
                </c:pt>
                <c:pt idx="11">
                  <c:v>2581.7199999999998</c:v>
                </c:pt>
                <c:pt idx="12">
                  <c:v>2752.9799999999996</c:v>
                </c:pt>
                <c:pt idx="13">
                  <c:v>2924.24</c:v>
                </c:pt>
                <c:pt idx="14">
                  <c:v>3095.4999999999995</c:v>
                </c:pt>
                <c:pt idx="15">
                  <c:v>3266.7599999999998</c:v>
                </c:pt>
                <c:pt idx="16">
                  <c:v>3438.0199999999995</c:v>
                </c:pt>
                <c:pt idx="17">
                  <c:v>3609.2799999999997</c:v>
                </c:pt>
                <c:pt idx="18">
                  <c:v>3780.5399999999995</c:v>
                </c:pt>
                <c:pt idx="19">
                  <c:v>3951.7999999999997</c:v>
                </c:pt>
                <c:pt idx="20">
                  <c:v>4123.0599999999995</c:v>
                </c:pt>
                <c:pt idx="21">
                  <c:v>4294.32</c:v>
                </c:pt>
                <c:pt idx="22">
                  <c:v>4465.58</c:v>
                </c:pt>
                <c:pt idx="23">
                  <c:v>4636.8399999999992</c:v>
                </c:pt>
                <c:pt idx="24">
                  <c:v>4808.0999999999995</c:v>
                </c:pt>
                <c:pt idx="25">
                  <c:v>4979.3599999999997</c:v>
                </c:pt>
                <c:pt idx="26">
                  <c:v>5150.62</c:v>
                </c:pt>
                <c:pt idx="27">
                  <c:v>5321.8799999999992</c:v>
                </c:pt>
                <c:pt idx="28">
                  <c:v>5493.1399999999994</c:v>
                </c:pt>
                <c:pt idx="29">
                  <c:v>5664.4</c:v>
                </c:pt>
                <c:pt idx="30">
                  <c:v>5835.66</c:v>
                </c:pt>
                <c:pt idx="31">
                  <c:v>6006.9199999999992</c:v>
                </c:pt>
                <c:pt idx="32">
                  <c:v>6178.1799999999994</c:v>
                </c:pt>
                <c:pt idx="33">
                  <c:v>6349.44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3-D145-8499-1BA8C658939D}"/>
            </c:ext>
          </c:extLst>
        </c:ser>
        <c:ser>
          <c:idx val="2"/>
          <c:order val="2"/>
          <c:tx>
            <c:strRef>
              <c:f>'P. zijsron Calc'!$K$1</c:f>
              <c:strCache>
                <c:ptCount val="1"/>
                <c:pt idx="0">
                  <c:v>TL Faria 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Calc'!$K$2:$K$35</c:f>
              <c:numCache>
                <c:formatCode>0.00</c:formatCode>
                <c:ptCount val="34"/>
                <c:pt idx="0">
                  <c:v>610.17192336466803</c:v>
                </c:pt>
                <c:pt idx="1">
                  <c:v>803.37560496236631</c:v>
                </c:pt>
                <c:pt idx="2">
                  <c:v>994.45238665769227</c:v>
                </c:pt>
                <c:pt idx="3">
                  <c:v>1183.8511540901291</c:v>
                </c:pt>
                <c:pt idx="4">
                  <c:v>1371.8657767474765</c:v>
                </c:pt>
                <c:pt idx="5">
                  <c:v>1558.7035402383528</c:v>
                </c:pt>
                <c:pt idx="6">
                  <c:v>1744.5184374327416</c:v>
                </c:pt>
                <c:pt idx="7">
                  <c:v>1929.4293305737538</c:v>
                </c:pt>
                <c:pt idx="8">
                  <c:v>2113.5307061177996</c:v>
                </c:pt>
                <c:pt idx="9">
                  <c:v>2296.8994497685612</c:v>
                </c:pt>
                <c:pt idx="10">
                  <c:v>2479.599326519442</c:v>
                </c:pt>
                <c:pt idx="11">
                  <c:v>2661.6840612782839</c:v>
                </c:pt>
                <c:pt idx="12">
                  <c:v>2843.1995266299928</c:v>
                </c:pt>
                <c:pt idx="13">
                  <c:v>3024.1853391420614</c:v>
                </c:pt>
                <c:pt idx="14">
                  <c:v>3204.6760512750329</c:v>
                </c:pt>
                <c:pt idx="15">
                  <c:v>3384.7020592128538</c:v>
                </c:pt>
                <c:pt idx="16">
                  <c:v>3564.2903064040943</c:v>
                </c:pt>
                <c:pt idx="17">
                  <c:v>3743.4648371553499</c:v>
                </c:pt>
                <c:pt idx="18">
                  <c:v>3922.247238158554</c:v>
                </c:pt>
                <c:pt idx="19">
                  <c:v>4100.6569949091281</c:v>
                </c:pt>
                <c:pt idx="20">
                  <c:v>4278.7117825533096</c:v>
                </c:pt>
                <c:pt idx="21">
                  <c:v>4456.4277055605799</c:v>
                </c:pt>
                <c:pt idx="22">
                  <c:v>4633.8194969869355</c:v>
                </c:pt>
                <c:pt idx="23">
                  <c:v>4810.900685488873</c:v>
                </c:pt>
                <c:pt idx="24">
                  <c:v>4987.6837363490495</c:v>
                </c:pt>
                <c:pt idx="25">
                  <c:v>5164.1801713717778</c:v>
                </c:pt>
                <c:pt idx="26">
                  <c:v>5340.4006714569896</c:v>
                </c:pt>
                <c:pt idx="27">
                  <c:v>5516.3551648668481</c:v>
                </c:pt>
                <c:pt idx="28">
                  <c:v>5692.0529035916288</c:v>
                </c:pt>
                <c:pt idx="29">
                  <c:v>5867.5025297519096</c:v>
                </c:pt>
                <c:pt idx="30">
                  <c:v>6042.7121336082164</c:v>
                </c:pt>
                <c:pt idx="31">
                  <c:v>6217.6893044610797</c:v>
                </c:pt>
                <c:pt idx="32">
                  <c:v>6392.4411754966859</c:v>
                </c:pt>
                <c:pt idx="33">
                  <c:v>6566.9744634507015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13-D145-8499-1BA8C658939D}"/>
            </c:ext>
          </c:extLst>
        </c:ser>
        <c:ser>
          <c:idx val="3"/>
          <c:order val="3"/>
          <c:tx>
            <c:strRef>
              <c:f>'P. zijsron Calc'!$L$1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Calc'!$L$2:$L$35</c:f>
              <c:numCache>
                <c:formatCode>0.00</c:formatCode>
                <c:ptCount val="34"/>
                <c:pt idx="0">
                  <c:v>629.24463504931953</c:v>
                </c:pt>
                <c:pt idx="1">
                  <c:v>804.92346136284164</c:v>
                </c:pt>
                <c:pt idx="2">
                  <c:v>974.31607119587704</c:v>
                </c:pt>
                <c:pt idx="3">
                  <c:v>1138.8619802750793</c:v>
                </c:pt>
                <c:pt idx="4">
                  <c:v>1299.4837468110732</c:v>
                </c:pt>
                <c:pt idx="5">
                  <c:v>1456.820886690133</c:v>
                </c:pt>
                <c:pt idx="6">
                  <c:v>1611.3415403746237</c:v>
                </c:pt>
                <c:pt idx="7">
                  <c:v>1763.4024486660924</c:v>
                </c:pt>
                <c:pt idx="8">
                  <c:v>1913.2839958109416</c:v>
                </c:pt>
                <c:pt idx="9">
                  <c:v>2061.2120276788983</c:v>
                </c:pt>
                <c:pt idx="10">
                  <c:v>2207.3721292696659</c:v>
                </c:pt>
                <c:pt idx="11">
                  <c:v>2351.9193502739113</c:v>
                </c:pt>
                <c:pt idx="12">
                  <c:v>2494.9850527521239</c:v>
                </c:pt>
                <c:pt idx="13">
                  <c:v>2636.6818682402941</c:v>
                </c:pt>
                <c:pt idx="14">
                  <c:v>2777.107372098943</c:v>
                </c:pt>
                <c:pt idx="15">
                  <c:v>2916.3468631348883</c:v>
                </c:pt>
                <c:pt idx="16">
                  <c:v>3054.4755040532141</c:v>
                </c:pt>
                <c:pt idx="17">
                  <c:v>3191.5599956642995</c:v>
                </c:pt>
                <c:pt idx="18">
                  <c:v>3327.6599046636666</c:v>
                </c:pt>
                <c:pt idx="19">
                  <c:v>3462.828729762758</c:v>
                </c:pt>
                <c:pt idx="20">
                  <c:v>3597.1147672866746</c:v>
                </c:pt>
                <c:pt idx="21">
                  <c:v>3730.5618210399398</c:v>
                </c:pt>
                <c:pt idx="22">
                  <c:v>3863.2097897812923</c:v>
                </c:pt>
                <c:pt idx="23">
                  <c:v>3995.0951574613528</c:v>
                </c:pt>
                <c:pt idx="24">
                  <c:v>4126.2514054384665</c:v>
                </c:pt>
                <c:pt idx="25">
                  <c:v>4256.7093615192853</c:v>
                </c:pt>
                <c:pt idx="26">
                  <c:v>4386.4974974163233</c:v>
                </c:pt>
                <c:pt idx="27">
                  <c:v>4515.6421837610114</c:v>
                </c:pt>
                <c:pt idx="28">
                  <c:v>4644.1679099410594</c:v>
                </c:pt>
                <c:pt idx="29">
                  <c:v>4772.0974745921822</c:v>
                </c:pt>
                <c:pt idx="30">
                  <c:v>4899.452151455338</c:v>
                </c:pt>
                <c:pt idx="31">
                  <c:v>5026.2518344351583</c:v>
                </c:pt>
                <c:pt idx="32">
                  <c:v>5152.5151650022899</c:v>
                </c:pt>
                <c:pt idx="33">
                  <c:v>5278.2596445315676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13-D145-8499-1BA8C658939D}"/>
            </c:ext>
          </c:extLst>
        </c:ser>
        <c:ser>
          <c:idx val="4"/>
          <c:order val="4"/>
          <c:tx>
            <c:strRef>
              <c:f>'P. zijsron Calc'!$M$1</c:f>
              <c:strCache>
                <c:ptCount val="1"/>
                <c:pt idx="0">
                  <c:v>TL WhittyL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Calc'!$M$2:$M$35</c:f>
              <c:numCache>
                <c:formatCode>0.00</c:formatCode>
                <c:ptCount val="34"/>
                <c:pt idx="0">
                  <c:v>555.55555555555554</c:v>
                </c:pt>
                <c:pt idx="1">
                  <c:v>740.74074074074065</c:v>
                </c:pt>
                <c:pt idx="2">
                  <c:v>925.92592592592587</c:v>
                </c:pt>
                <c:pt idx="3">
                  <c:v>1111.1111111111111</c:v>
                </c:pt>
                <c:pt idx="4">
                  <c:v>1296.2962962962963</c:v>
                </c:pt>
                <c:pt idx="5">
                  <c:v>1481.4814814814813</c:v>
                </c:pt>
                <c:pt idx="6">
                  <c:v>1666.6666666666665</c:v>
                </c:pt>
                <c:pt idx="7">
                  <c:v>1851.8518518518517</c:v>
                </c:pt>
                <c:pt idx="8">
                  <c:v>2037.037037037037</c:v>
                </c:pt>
                <c:pt idx="9">
                  <c:v>2222.2222222222222</c:v>
                </c:pt>
                <c:pt idx="10">
                  <c:v>2407.4074074074074</c:v>
                </c:pt>
                <c:pt idx="11">
                  <c:v>2592.5925925925926</c:v>
                </c:pt>
                <c:pt idx="12">
                  <c:v>2777.7777777777774</c:v>
                </c:pt>
                <c:pt idx="13">
                  <c:v>2962.9629629629626</c:v>
                </c:pt>
                <c:pt idx="14">
                  <c:v>3148.1481481481478</c:v>
                </c:pt>
                <c:pt idx="15">
                  <c:v>3333.333333333333</c:v>
                </c:pt>
                <c:pt idx="16">
                  <c:v>3518.5185185185182</c:v>
                </c:pt>
                <c:pt idx="17">
                  <c:v>3703.7037037037035</c:v>
                </c:pt>
                <c:pt idx="18">
                  <c:v>3888.8888888888887</c:v>
                </c:pt>
                <c:pt idx="19">
                  <c:v>4074.0740740740739</c:v>
                </c:pt>
                <c:pt idx="20">
                  <c:v>4259.2592592592591</c:v>
                </c:pt>
                <c:pt idx="21">
                  <c:v>4444.4444444444443</c:v>
                </c:pt>
                <c:pt idx="22">
                  <c:v>4629.6296296296296</c:v>
                </c:pt>
                <c:pt idx="23">
                  <c:v>4814.8148148148148</c:v>
                </c:pt>
                <c:pt idx="24">
                  <c:v>5000</c:v>
                </c:pt>
                <c:pt idx="25">
                  <c:v>5185.1851851851852</c:v>
                </c:pt>
                <c:pt idx="26">
                  <c:v>5370.3703703703704</c:v>
                </c:pt>
                <c:pt idx="27">
                  <c:v>5555.5555555555547</c:v>
                </c:pt>
                <c:pt idx="28">
                  <c:v>5740.74074074074</c:v>
                </c:pt>
                <c:pt idx="29">
                  <c:v>5925.9259259259252</c:v>
                </c:pt>
                <c:pt idx="30">
                  <c:v>6111.1111111111104</c:v>
                </c:pt>
                <c:pt idx="31">
                  <c:v>6296.2962962962956</c:v>
                </c:pt>
                <c:pt idx="32">
                  <c:v>6481.4814814814808</c:v>
                </c:pt>
                <c:pt idx="33">
                  <c:v>6666.6666666666661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27-7D4F-BDCB-E744214600BD}"/>
            </c:ext>
          </c:extLst>
        </c:ser>
        <c:ser>
          <c:idx val="5"/>
          <c:order val="5"/>
          <c:tx>
            <c:strRef>
              <c:f>'P. zijsron Calc'!$N$1</c:f>
              <c:strCache>
                <c:ptCount val="1"/>
                <c:pt idx="0">
                  <c:v>TL NBLin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Calc'!$N$2:$N$35</c:f>
              <c:numCache>
                <c:formatCode>0.00</c:formatCode>
                <c:ptCount val="34"/>
                <c:pt idx="0">
                  <c:v>680.24</c:v>
                </c:pt>
                <c:pt idx="1">
                  <c:v>857.85</c:v>
                </c:pt>
                <c:pt idx="2">
                  <c:v>1035.46</c:v>
                </c:pt>
                <c:pt idx="3">
                  <c:v>1213.0700000000002</c:v>
                </c:pt>
                <c:pt idx="4">
                  <c:v>1390.68</c:v>
                </c:pt>
                <c:pt idx="5">
                  <c:v>1568.2900000000002</c:v>
                </c:pt>
                <c:pt idx="6">
                  <c:v>1745.9</c:v>
                </c:pt>
                <c:pt idx="7">
                  <c:v>1923.51</c:v>
                </c:pt>
                <c:pt idx="8">
                  <c:v>2101.12</c:v>
                </c:pt>
                <c:pt idx="9">
                  <c:v>2278.73</c:v>
                </c:pt>
                <c:pt idx="10">
                  <c:v>2456.3399999999997</c:v>
                </c:pt>
                <c:pt idx="11">
                  <c:v>2633.95</c:v>
                </c:pt>
                <c:pt idx="12">
                  <c:v>2811.56</c:v>
                </c:pt>
                <c:pt idx="13">
                  <c:v>2989.17</c:v>
                </c:pt>
                <c:pt idx="14">
                  <c:v>3166.7799999999997</c:v>
                </c:pt>
                <c:pt idx="15">
                  <c:v>3344.39</c:v>
                </c:pt>
                <c:pt idx="16">
                  <c:v>3522</c:v>
                </c:pt>
                <c:pt idx="17">
                  <c:v>3699.6099999999997</c:v>
                </c:pt>
                <c:pt idx="18">
                  <c:v>3877.22</c:v>
                </c:pt>
                <c:pt idx="19">
                  <c:v>4054.83</c:v>
                </c:pt>
                <c:pt idx="20">
                  <c:v>4232.4400000000005</c:v>
                </c:pt>
                <c:pt idx="21">
                  <c:v>4410.05</c:v>
                </c:pt>
                <c:pt idx="22">
                  <c:v>4587.66</c:v>
                </c:pt>
                <c:pt idx="23">
                  <c:v>4765.2699999999995</c:v>
                </c:pt>
                <c:pt idx="24">
                  <c:v>4942.88</c:v>
                </c:pt>
                <c:pt idx="25">
                  <c:v>5120.49</c:v>
                </c:pt>
                <c:pt idx="26">
                  <c:v>5298.0999999999995</c:v>
                </c:pt>
                <c:pt idx="27">
                  <c:v>5475.71</c:v>
                </c:pt>
                <c:pt idx="28">
                  <c:v>5653.32</c:v>
                </c:pt>
                <c:pt idx="29">
                  <c:v>5830.93</c:v>
                </c:pt>
                <c:pt idx="30">
                  <c:v>6008.54</c:v>
                </c:pt>
                <c:pt idx="31">
                  <c:v>6186.15</c:v>
                </c:pt>
                <c:pt idx="32">
                  <c:v>6363.76</c:v>
                </c:pt>
                <c:pt idx="33">
                  <c:v>6541.37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2-6F4D-A4B6-EF0E9C8D3F75}"/>
            </c:ext>
          </c:extLst>
        </c:ser>
        <c:ser>
          <c:idx val="6"/>
          <c:order val="6"/>
          <c:tx>
            <c:strRef>
              <c:f>'P. zijsron Calc'!$O$1</c:f>
              <c:strCache>
                <c:ptCount val="1"/>
                <c:pt idx="0">
                  <c:v>TL NBLog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zijsron Calc'!$H$2:$H$35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</c:numCache>
            </c:numRef>
          </c:xVal>
          <c:yVal>
            <c:numRef>
              <c:f>'P. zijsron Calc'!$O$2:$O$35</c:f>
              <c:numCache>
                <c:formatCode>0.00</c:formatCode>
                <c:ptCount val="34"/>
                <c:pt idx="2">
                  <c:v>573.39457660242442</c:v>
                </c:pt>
                <c:pt idx="3">
                  <c:v>1029.9824512815248</c:v>
                </c:pt>
                <c:pt idx="4">
                  <c:v>1416.021998772927</c:v>
                </c:pt>
                <c:pt idx="5">
                  <c:v>1750.42466532252</c:v>
                </c:pt>
                <c:pt idx="6">
                  <c:v>2045.3887215168015</c:v>
                </c:pt>
                <c:pt idx="7">
                  <c:v>2309.2430608786945</c:v>
                </c:pt>
                <c:pt idx="8">
                  <c:v>2547.9283441626649</c:v>
                </c:pt>
                <c:pt idx="9">
                  <c:v>2765.8309355577967</c:v>
                </c:pt>
                <c:pt idx="10">
                  <c:v>2966.2818883846339</c:v>
                </c:pt>
                <c:pt idx="11">
                  <c:v>3151.8704830491988</c:v>
                </c:pt>
                <c:pt idx="12">
                  <c:v>3324.6493311139711</c:v>
                </c:pt>
                <c:pt idx="13">
                  <c:v>3486.27314959879</c:v>
                </c:pt>
                <c:pt idx="14">
                  <c:v>3638.0953900136919</c:v>
                </c:pt>
                <c:pt idx="15">
                  <c:v>3781.2372057930734</c:v>
                </c:pt>
                <c:pt idx="16">
                  <c:v>3916.6377480202245</c:v>
                </c:pt>
                <c:pt idx="17">
                  <c:v>4045.0915451549663</c:v>
                </c:pt>
                <c:pt idx="18">
                  <c:v>4167.2767532844737</c:v>
                </c:pt>
                <c:pt idx="19">
                  <c:v>4283.7768284389385</c:v>
                </c:pt>
                <c:pt idx="20">
                  <c:v>4395.0973774450795</c:v>
                </c:pt>
                <c:pt idx="21">
                  <c:v>4501.6794198340685</c:v>
                </c:pt>
                <c:pt idx="22">
                  <c:v>4603.9099407111426</c:v>
                </c:pt>
                <c:pt idx="23">
                  <c:v>4702.130372660904</c:v>
                </c:pt>
                <c:pt idx="24">
                  <c:v>4796.6434760283482</c:v>
                </c:pt>
                <c:pt idx="25">
                  <c:v>4887.7189673254688</c:v>
                </c:pt>
                <c:pt idx="26">
                  <c:v>4975.5981595288358</c:v>
                </c:pt>
                <c:pt idx="27">
                  <c:v>5060.4978153902448</c:v>
                </c:pt>
                <c:pt idx="28">
                  <c:v>5142.6133686858593</c:v>
                </c:pt>
                <c:pt idx="29">
                  <c:v>5222.1216338750637</c:v>
                </c:pt>
                <c:pt idx="30">
                  <c:v>5299.1830986742134</c:v>
                </c:pt>
                <c:pt idx="31">
                  <c:v>5373.9438742899583</c:v>
                </c:pt>
                <c:pt idx="32">
                  <c:v>5446.5373628816451</c:v>
                </c:pt>
                <c:pt idx="33">
                  <c:v>5517.0856900693434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72-6F4D-A4B6-EF0E9C8D3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296960"/>
        <c:axId val="1961181616"/>
      </c:scatterChart>
      <c:valAx>
        <c:axId val="1961296960"/>
        <c:scaling>
          <c:orientation val="minMax"/>
          <c:max val="19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TRL (mm)</a:t>
                </a:r>
              </a:p>
            </c:rich>
          </c:tx>
          <c:layout>
            <c:manualLayout>
              <c:xMode val="edge"/>
              <c:yMode val="edge"/>
              <c:x val="0.42975167510613266"/>
              <c:y val="0.7550329598836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81616"/>
        <c:crosses val="autoZero"/>
        <c:crossBetween val="midCat"/>
      </c:valAx>
      <c:valAx>
        <c:axId val="1961181616"/>
        <c:scaling>
          <c:orientation val="minMax"/>
          <c:max val="70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Length</a:t>
                </a:r>
                <a:r>
                  <a:rPr lang="en-GB" baseline="0"/>
                  <a:t>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3845007273790011"/>
          <c:y val="0.79873177331872547"/>
          <c:w val="0.82758997172860516"/>
          <c:h val="4.5733897664480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Length vs. SRL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49063445641706"/>
          <c:y val="8.7670458860054312E-2"/>
          <c:w val="0.78815198154448574"/>
          <c:h val="0.627215376041118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'P. zijsron Calc'!$U$1</c:f>
              <c:strCache>
                <c:ptCount val="1"/>
                <c:pt idx="0">
                  <c:v>TL Peverell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zijsron Calc'!$T$2:$T$1001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Calc'!$U$2:$U$1001</c:f>
              <c:numCache>
                <c:formatCode>0.00</c:formatCode>
                <c:ptCount val="1000"/>
                <c:pt idx="0">
                  <c:v>781.28600000000006</c:v>
                </c:pt>
                <c:pt idx="1">
                  <c:v>966.53600000000006</c:v>
                </c:pt>
                <c:pt idx="2">
                  <c:v>1151.7860000000001</c:v>
                </c:pt>
                <c:pt idx="3">
                  <c:v>1337.0360000000001</c:v>
                </c:pt>
                <c:pt idx="4">
                  <c:v>1522.2860000000001</c:v>
                </c:pt>
                <c:pt idx="5">
                  <c:v>1707.5360000000001</c:v>
                </c:pt>
                <c:pt idx="6">
                  <c:v>1892.7860000000001</c:v>
                </c:pt>
                <c:pt idx="7">
                  <c:v>2078.0360000000001</c:v>
                </c:pt>
                <c:pt idx="8">
                  <c:v>2263.2860000000001</c:v>
                </c:pt>
                <c:pt idx="9">
                  <c:v>2448.5360000000001</c:v>
                </c:pt>
                <c:pt idx="10">
                  <c:v>2633.7860000000001</c:v>
                </c:pt>
                <c:pt idx="11">
                  <c:v>2819.0360000000001</c:v>
                </c:pt>
                <c:pt idx="12">
                  <c:v>3004.2860000000001</c:v>
                </c:pt>
                <c:pt idx="13">
                  <c:v>3189.5360000000001</c:v>
                </c:pt>
                <c:pt idx="14">
                  <c:v>3374.7860000000001</c:v>
                </c:pt>
                <c:pt idx="15">
                  <c:v>3560.0360000000001</c:v>
                </c:pt>
                <c:pt idx="16">
                  <c:v>3745.2860000000001</c:v>
                </c:pt>
                <c:pt idx="17">
                  <c:v>3930.5360000000001</c:v>
                </c:pt>
                <c:pt idx="18">
                  <c:v>4115.7860000000001</c:v>
                </c:pt>
                <c:pt idx="19">
                  <c:v>4301.0360000000001</c:v>
                </c:pt>
                <c:pt idx="20">
                  <c:v>4486.2860000000001</c:v>
                </c:pt>
                <c:pt idx="21">
                  <c:v>4671.5360000000001</c:v>
                </c:pt>
                <c:pt idx="22">
                  <c:v>4856.7860000000001</c:v>
                </c:pt>
                <c:pt idx="23">
                  <c:v>5042.0360000000001</c:v>
                </c:pt>
                <c:pt idx="24">
                  <c:v>5227.2860000000001</c:v>
                </c:pt>
                <c:pt idx="25">
                  <c:v>5412.5360000000001</c:v>
                </c:pt>
                <c:pt idx="26">
                  <c:v>5597.7860000000001</c:v>
                </c:pt>
                <c:pt idx="27">
                  <c:v>5783.0360000000001</c:v>
                </c:pt>
                <c:pt idx="28">
                  <c:v>5968.2860000000001</c:v>
                </c:pt>
                <c:pt idx="29">
                  <c:v>6153.5360000000001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3-BA42-9E69-3447966F2BBF}"/>
            </c:ext>
          </c:extLst>
        </c:ser>
        <c:ser>
          <c:idx val="1"/>
          <c:order val="1"/>
          <c:tx>
            <c:strRef>
              <c:f>'P. zijsron Calc'!$V$1</c:f>
              <c:strCache>
                <c:ptCount val="1"/>
                <c:pt idx="0">
                  <c:v>TL Faria Linear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'P. zijsron Calc'!$T$2:$T$1001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Calc'!$V$2:$V$1001</c:f>
              <c:numCache>
                <c:formatCode>0.00</c:formatCode>
                <c:ptCount val="1000"/>
                <c:pt idx="0">
                  <c:v>731.14</c:v>
                </c:pt>
                <c:pt idx="1">
                  <c:v>919.46999999999991</c:v>
                </c:pt>
                <c:pt idx="2">
                  <c:v>1107.8</c:v>
                </c:pt>
                <c:pt idx="3">
                  <c:v>1296.1300000000001</c:v>
                </c:pt>
                <c:pt idx="4">
                  <c:v>1484.46</c:v>
                </c:pt>
                <c:pt idx="5">
                  <c:v>1672.79</c:v>
                </c:pt>
                <c:pt idx="6">
                  <c:v>1861.1200000000001</c:v>
                </c:pt>
                <c:pt idx="7">
                  <c:v>2049.4499999999998</c:v>
                </c:pt>
                <c:pt idx="8">
                  <c:v>2237.7800000000002</c:v>
                </c:pt>
                <c:pt idx="9">
                  <c:v>2426.11</c:v>
                </c:pt>
                <c:pt idx="10">
                  <c:v>2614.44</c:v>
                </c:pt>
                <c:pt idx="11">
                  <c:v>2802.77</c:v>
                </c:pt>
                <c:pt idx="12">
                  <c:v>2991.1</c:v>
                </c:pt>
                <c:pt idx="13">
                  <c:v>3179.43</c:v>
                </c:pt>
                <c:pt idx="14">
                  <c:v>3367.76</c:v>
                </c:pt>
                <c:pt idx="15">
                  <c:v>3556.09</c:v>
                </c:pt>
                <c:pt idx="16">
                  <c:v>3744.42</c:v>
                </c:pt>
                <c:pt idx="17">
                  <c:v>3932.75</c:v>
                </c:pt>
                <c:pt idx="18">
                  <c:v>4121.08</c:v>
                </c:pt>
                <c:pt idx="19">
                  <c:v>4309.41</c:v>
                </c:pt>
                <c:pt idx="20">
                  <c:v>4497.74</c:v>
                </c:pt>
                <c:pt idx="21">
                  <c:v>4686.07</c:v>
                </c:pt>
                <c:pt idx="22">
                  <c:v>4874.3999999999996</c:v>
                </c:pt>
                <c:pt idx="23">
                  <c:v>5062.7299999999996</c:v>
                </c:pt>
                <c:pt idx="24">
                  <c:v>5251.0599999999995</c:v>
                </c:pt>
                <c:pt idx="25">
                  <c:v>5439.3899999999994</c:v>
                </c:pt>
                <c:pt idx="26">
                  <c:v>5627.7199999999993</c:v>
                </c:pt>
                <c:pt idx="27">
                  <c:v>5816.0499999999993</c:v>
                </c:pt>
                <c:pt idx="28">
                  <c:v>6004.3799999999992</c:v>
                </c:pt>
                <c:pt idx="29">
                  <c:v>6192.7099999999991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D3-BA42-9E69-3447966F2BBF}"/>
            </c:ext>
          </c:extLst>
        </c:ser>
        <c:ser>
          <c:idx val="2"/>
          <c:order val="2"/>
          <c:tx>
            <c:strRef>
              <c:f>'P. zijsron Calc'!$W$1</c:f>
              <c:strCache>
                <c:ptCount val="1"/>
                <c:pt idx="0">
                  <c:v>TL Faria 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zijsron Calc'!$T$2:$T$1001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Calc'!$W$2:$W$1001</c:f>
              <c:numCache>
                <c:formatCode>0.00</c:formatCode>
                <c:ptCount val="1000"/>
                <c:pt idx="0">
                  <c:v>649.74938479109733</c:v>
                </c:pt>
                <c:pt idx="1">
                  <c:v>858.98667512758686</c:v>
                </c:pt>
                <c:pt idx="2">
                  <c:v>1066.6646526574286</c:v>
                </c:pt>
                <c:pt idx="3">
                  <c:v>1273.1084032891738</c:v>
                </c:pt>
                <c:pt idx="4">
                  <c:v>1478.5313905278208</c:v>
                </c:pt>
                <c:pt idx="5">
                  <c:v>1683.0845553935524</c:v>
                </c:pt>
                <c:pt idx="6">
                  <c:v>1886.8802665475221</c:v>
                </c:pt>
                <c:pt idx="7">
                  <c:v>2090.005415282244</c:v>
                </c:pt>
                <c:pt idx="8">
                  <c:v>2292.5291845157362</c:v>
                </c:pt>
                <c:pt idx="9">
                  <c:v>2494.5079510104042</c:v>
                </c:pt>
                <c:pt idx="10">
                  <c:v>2695.9885317976332</c:v>
                </c:pt>
                <c:pt idx="11">
                  <c:v>2897.0104195065746</c:v>
                </c:pt>
                <c:pt idx="12">
                  <c:v>3097.6073717563663</c:v>
                </c:pt>
                <c:pt idx="13">
                  <c:v>3297.8085721569055</c:v>
                </c:pt>
                <c:pt idx="14">
                  <c:v>3497.6394980887035</c:v>
                </c:pt>
                <c:pt idx="15">
                  <c:v>3697.1225822930255</c:v>
                </c:pt>
                <c:pt idx="16">
                  <c:v>3896.2777260465732</c:v>
                </c:pt>
                <c:pt idx="17">
                  <c:v>4095.1227033038072</c:v>
                </c:pt>
                <c:pt idx="18">
                  <c:v>4293.6734832845941</c:v>
                </c:pt>
                <c:pt idx="19">
                  <c:v>4491.9444910764159</c:v>
                </c:pt>
                <c:pt idx="20">
                  <c:v>4689.9488204457139</c:v>
                </c:pt>
                <c:pt idx="21">
                  <c:v>4887.6984093244764</c:v>
                </c:pt>
                <c:pt idx="22">
                  <c:v>5085.2041858045113</c:v>
                </c:pt>
                <c:pt idx="23">
                  <c:v>5282.476190579745</c:v>
                </c:pt>
                <c:pt idx="24">
                  <c:v>5479.5236803973767</c:v>
                </c:pt>
                <c:pt idx="25">
                  <c:v>5676.3552160590716</c:v>
                </c:pt>
                <c:pt idx="26">
                  <c:v>5872.9787377497723</c:v>
                </c:pt>
                <c:pt idx="27">
                  <c:v>6069.4016298937149</c:v>
                </c:pt>
                <c:pt idx="28">
                  <c:v>6265.6307772946675</c:v>
                </c:pt>
                <c:pt idx="29">
                  <c:v>6461.6726139754446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D3-BA42-9E69-3447966F2BBF}"/>
            </c:ext>
          </c:extLst>
        </c:ser>
        <c:ser>
          <c:idx val="3"/>
          <c:order val="3"/>
          <c:tx>
            <c:strRef>
              <c:f>'P. zijsron Calc'!$X$1</c:f>
              <c:strCache>
                <c:ptCount val="1"/>
                <c:pt idx="0">
                  <c:v>TL Whitty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'P. zijsron Calc'!$T$2:$T$1001</c:f>
              <c:numCache>
                <c:formatCode>General</c:formatCode>
                <c:ptCount val="100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Calc'!$X$2:$X$1001</c:f>
              <c:numCache>
                <c:formatCode>0.00</c:formatCode>
                <c:ptCount val="1000"/>
                <c:pt idx="0">
                  <c:v>682.14229144628302</c:v>
                </c:pt>
                <c:pt idx="1">
                  <c:v>872.58961584930682</c:v>
                </c:pt>
                <c:pt idx="2">
                  <c:v>1056.2222709239359</c:v>
                </c:pt>
                <c:pt idx="3">
                  <c:v>1234.6007857579987</c:v>
                </c:pt>
                <c:pt idx="4">
                  <c:v>1408.7252737203371</c:v>
                </c:pt>
                <c:pt idx="5">
                  <c:v>1579.2890118097259</c:v>
                </c:pt>
                <c:pt idx="6">
                  <c:v>1746.7994948698736</c:v>
                </c:pt>
                <c:pt idx="7">
                  <c:v>1911.6434532346764</c:v>
                </c:pt>
                <c:pt idx="8">
                  <c:v>2074.1248417440706</c:v>
                </c:pt>
                <c:pt idx="9">
                  <c:v>2234.4884920748182</c:v>
                </c:pt>
                <c:pt idx="10">
                  <c:v>2392.9355904904201</c:v>
                </c:pt>
                <c:pt idx="11">
                  <c:v>2549.6342209845793</c:v>
                </c:pt>
                <c:pt idx="12">
                  <c:v>2704.7267886124482</c:v>
                </c:pt>
                <c:pt idx="13">
                  <c:v>2858.3353933169847</c:v>
                </c:pt>
                <c:pt idx="14">
                  <c:v>3010.5658131633636</c:v>
                </c:pt>
                <c:pt idx="15">
                  <c:v>3161.5105176305397</c:v>
                </c:pt>
                <c:pt idx="16">
                  <c:v>3311.2509880010166</c:v>
                </c:pt>
                <c:pt idx="17">
                  <c:v>3459.8595323106692</c:v>
                </c:pt>
                <c:pt idx="18">
                  <c:v>3607.4007247487775</c:v>
                </c:pt>
                <c:pt idx="19">
                  <c:v>3753.9325614134882</c:v>
                </c:pt>
                <c:pt idx="20">
                  <c:v>3899.5073986763059</c:v>
                </c:pt>
                <c:pt idx="21">
                  <c:v>4044.1727227229339</c:v>
                </c:pt>
                <c:pt idx="22">
                  <c:v>4187.971786414314</c:v>
                </c:pt>
                <c:pt idx="23">
                  <c:v>4330.9441407363511</c:v>
                </c:pt>
                <c:pt idx="24">
                  <c:v>4473.12608166874</c:v>
                </c:pt>
                <c:pt idx="25">
                  <c:v>4614.5510285677992</c:v>
                </c:pt>
                <c:pt idx="26">
                  <c:v>4755.249846629893</c:v>
                </c:pt>
                <c:pt idx="27">
                  <c:v>4895.2511233421956</c:v>
                </c:pt>
                <c:pt idx="28">
                  <c:v>5034.5814068008531</c:v>
                </c:pt>
                <c:pt idx="29">
                  <c:v>5173.2654122163249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D3-BA42-9E69-3447966F2BBF}"/>
            </c:ext>
          </c:extLst>
        </c:ser>
        <c:ser>
          <c:idx val="4"/>
          <c:order val="4"/>
          <c:tx>
            <c:strRef>
              <c:f>'P. zijsron Calc'!$Y$1</c:f>
              <c:strCache>
                <c:ptCount val="1"/>
                <c:pt idx="0">
                  <c:v>TL WhittyL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'P. zijsron Calc'!$T$2:$T$35</c:f>
              <c:numCache>
                <c:formatCode>General</c:formatCode>
                <c:ptCount val="3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Calc'!$Y$2:$Y$35</c:f>
              <c:numCache>
                <c:formatCode>0.00</c:formatCode>
                <c:ptCount val="34"/>
                <c:pt idx="0">
                  <c:v>625</c:v>
                </c:pt>
                <c:pt idx="1">
                  <c:v>833.33333333333337</c:v>
                </c:pt>
                <c:pt idx="2">
                  <c:v>1041.6666666666667</c:v>
                </c:pt>
                <c:pt idx="3">
                  <c:v>1250</c:v>
                </c:pt>
                <c:pt idx="4">
                  <c:v>1458.3333333333335</c:v>
                </c:pt>
                <c:pt idx="5">
                  <c:v>1666.6666666666667</c:v>
                </c:pt>
                <c:pt idx="6">
                  <c:v>1875</c:v>
                </c:pt>
                <c:pt idx="7">
                  <c:v>2083.3333333333335</c:v>
                </c:pt>
                <c:pt idx="8">
                  <c:v>2291.666666666667</c:v>
                </c:pt>
                <c:pt idx="9">
                  <c:v>2500</c:v>
                </c:pt>
                <c:pt idx="10">
                  <c:v>2708.3333333333335</c:v>
                </c:pt>
                <c:pt idx="11">
                  <c:v>2916.666666666667</c:v>
                </c:pt>
                <c:pt idx="12">
                  <c:v>3125</c:v>
                </c:pt>
                <c:pt idx="13">
                  <c:v>3333.3333333333335</c:v>
                </c:pt>
                <c:pt idx="14">
                  <c:v>3541.666666666667</c:v>
                </c:pt>
                <c:pt idx="15">
                  <c:v>3750</c:v>
                </c:pt>
                <c:pt idx="16">
                  <c:v>3958.3333333333335</c:v>
                </c:pt>
                <c:pt idx="17">
                  <c:v>4166.666666666667</c:v>
                </c:pt>
                <c:pt idx="18">
                  <c:v>4375</c:v>
                </c:pt>
                <c:pt idx="19">
                  <c:v>4583.3333333333339</c:v>
                </c:pt>
                <c:pt idx="20">
                  <c:v>4791.666666666667</c:v>
                </c:pt>
                <c:pt idx="21">
                  <c:v>5000</c:v>
                </c:pt>
                <c:pt idx="22">
                  <c:v>5208.3333333333339</c:v>
                </c:pt>
                <c:pt idx="23">
                  <c:v>5416.666666666667</c:v>
                </c:pt>
                <c:pt idx="24">
                  <c:v>5625</c:v>
                </c:pt>
                <c:pt idx="25">
                  <c:v>5833.3333333333339</c:v>
                </c:pt>
                <c:pt idx="26">
                  <c:v>6041.666666666667</c:v>
                </c:pt>
                <c:pt idx="27">
                  <c:v>6250</c:v>
                </c:pt>
                <c:pt idx="28">
                  <c:v>6458.3333333333339</c:v>
                </c:pt>
                <c:pt idx="29">
                  <c:v>6666.666666666667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52-EB43-BABA-8ADDCAB127F3}"/>
            </c:ext>
          </c:extLst>
        </c:ser>
        <c:ser>
          <c:idx val="5"/>
          <c:order val="5"/>
          <c:tx>
            <c:strRef>
              <c:f>'P. zijsron Calc'!$Z$1</c:f>
              <c:strCache>
                <c:ptCount val="1"/>
                <c:pt idx="0">
                  <c:v>TL NBLin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'P. zijsron Calc'!$T$2:$T$31</c:f>
              <c:numCache>
                <c:formatCode>General</c:formatCode>
                <c:ptCount val="3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Calc'!$Z$2:$Z$31</c:f>
              <c:numCache>
                <c:formatCode>0.00</c:formatCode>
                <c:ptCount val="30"/>
                <c:pt idx="0">
                  <c:v>701.42499999999995</c:v>
                </c:pt>
                <c:pt idx="1">
                  <c:v>892.91</c:v>
                </c:pt>
                <c:pt idx="2">
                  <c:v>1084.395</c:v>
                </c:pt>
                <c:pt idx="3">
                  <c:v>1275.8799999999999</c:v>
                </c:pt>
                <c:pt idx="4">
                  <c:v>1467.365</c:v>
                </c:pt>
                <c:pt idx="5">
                  <c:v>1658.85</c:v>
                </c:pt>
                <c:pt idx="6">
                  <c:v>1850.335</c:v>
                </c:pt>
                <c:pt idx="7">
                  <c:v>2041.82</c:v>
                </c:pt>
                <c:pt idx="8">
                  <c:v>2233.3049999999998</c:v>
                </c:pt>
                <c:pt idx="9">
                  <c:v>2424.7899999999995</c:v>
                </c:pt>
                <c:pt idx="10">
                  <c:v>2616.2749999999996</c:v>
                </c:pt>
                <c:pt idx="11">
                  <c:v>2807.7599999999998</c:v>
                </c:pt>
                <c:pt idx="12">
                  <c:v>2999.2449999999999</c:v>
                </c:pt>
                <c:pt idx="13">
                  <c:v>3190.7299999999996</c:v>
                </c:pt>
                <c:pt idx="14">
                  <c:v>3382.2149999999997</c:v>
                </c:pt>
                <c:pt idx="15">
                  <c:v>3573.7</c:v>
                </c:pt>
                <c:pt idx="16">
                  <c:v>3765.1849999999995</c:v>
                </c:pt>
                <c:pt idx="17">
                  <c:v>3956.6699999999996</c:v>
                </c:pt>
                <c:pt idx="18">
                  <c:v>4148.1549999999997</c:v>
                </c:pt>
                <c:pt idx="19">
                  <c:v>4339.6400000000003</c:v>
                </c:pt>
                <c:pt idx="20">
                  <c:v>4531.125</c:v>
                </c:pt>
                <c:pt idx="21">
                  <c:v>4722.6099999999997</c:v>
                </c:pt>
                <c:pt idx="22">
                  <c:v>4914.0950000000003</c:v>
                </c:pt>
                <c:pt idx="23">
                  <c:v>5105.58</c:v>
                </c:pt>
                <c:pt idx="24">
                  <c:v>5297.0650000000005</c:v>
                </c:pt>
                <c:pt idx="25">
                  <c:v>5488.55</c:v>
                </c:pt>
                <c:pt idx="26">
                  <c:v>5680.0349999999999</c:v>
                </c:pt>
                <c:pt idx="27">
                  <c:v>5871.52</c:v>
                </c:pt>
                <c:pt idx="28">
                  <c:v>6063.0050000000001</c:v>
                </c:pt>
                <c:pt idx="29">
                  <c:v>6254.49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96-424E-8B48-9D5E43F930CA}"/>
            </c:ext>
          </c:extLst>
        </c:ser>
        <c:ser>
          <c:idx val="6"/>
          <c:order val="6"/>
          <c:tx>
            <c:strRef>
              <c:f>'P. zijsron Calc'!$AA$1</c:f>
              <c:strCache>
                <c:ptCount val="1"/>
                <c:pt idx="0">
                  <c:v>TL NBLog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'P. zijsron Calc'!$T$2:$T$31</c:f>
              <c:numCache>
                <c:formatCode>General</c:formatCode>
                <c:ptCount val="3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Calc'!$AA$2:$AA$31</c:f>
              <c:numCache>
                <c:formatCode>0.00</c:formatCode>
                <c:ptCount val="30"/>
                <c:pt idx="2">
                  <c:v>734.25338739460312</c:v>
                </c:pt>
                <c:pt idx="3">
                  <c:v>1192.1904415939789</c:v>
                </c:pt>
                <c:pt idx="4">
                  <c:v>1579.3707041161033</c:v>
                </c:pt>
                <c:pt idx="5">
                  <c:v>1914.761502971116</c:v>
                </c:pt>
                <c:pt idx="6">
                  <c:v>2210.5971536292564</c:v>
                </c:pt>
                <c:pt idx="7">
                  <c:v>2475.2311608070177</c:v>
                </c:pt>
                <c:pt idx="8">
                  <c:v>2714.62173942154</c:v>
                </c:pt>
                <c:pt idx="9">
                  <c:v>2933.1682150063934</c:v>
                </c:pt>
                <c:pt idx="10">
                  <c:v>3134.2114838700145</c:v>
                </c:pt>
                <c:pt idx="11">
                  <c:v>3320.3484775285178</c:v>
                </c:pt>
                <c:pt idx="12">
                  <c:v>3493.6378728422933</c:v>
                </c:pt>
                <c:pt idx="13">
                  <c:v>3655.7392763835305</c:v>
                </c:pt>
                <c:pt idx="14">
                  <c:v>3808.0101389998708</c:v>
                </c:pt>
                <c:pt idx="15">
                  <c:v>3951.5749270416709</c:v>
                </c:pt>
                <c:pt idx="16">
                  <c:v>4087.3755667062214</c:v>
                </c:pt>
                <c:pt idx="17">
                  <c:v>4216.2089342194304</c:v>
                </c:pt>
                <c:pt idx="18">
                  <c:v>4338.7551895637953</c:v>
                </c:pt>
                <c:pt idx="19">
                  <c:v>4455.5995128339528</c:v>
                </c:pt>
                <c:pt idx="20">
                  <c:v>4567.2490048831205</c:v>
                </c:pt>
                <c:pt idx="21">
                  <c:v>4674.145988418808</c:v>
                </c:pt>
                <c:pt idx="22">
                  <c:v>4776.6785920553339</c:v>
                </c:pt>
                <c:pt idx="23">
                  <c:v>4875.189257282429</c:v>
                </c:pt>
                <c:pt idx="24">
                  <c:v>4969.9816390769483</c:v>
                </c:pt>
                <c:pt idx="25">
                  <c:v>5061.3262509409324</c:v>
                </c:pt>
                <c:pt idx="26">
                  <c:v>5149.465118910899</c:v>
                </c:pt>
                <c:pt idx="27">
                  <c:v>5234.6156462547078</c:v>
                </c:pt>
                <c:pt idx="28">
                  <c:v>5316.9738442392154</c:v>
                </c:pt>
                <c:pt idx="29">
                  <c:v>5396.7170497959451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96-424E-8B48-9D5E43F930CA}"/>
            </c:ext>
          </c:extLst>
        </c:ser>
        <c:ser>
          <c:idx val="7"/>
          <c:order val="7"/>
          <c:tx>
            <c:strRef>
              <c:f>'P. zijsron Calc'!$AB$1</c:f>
              <c:strCache>
                <c:ptCount val="1"/>
                <c:pt idx="0">
                  <c:v>TL NBP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'P. zijsron Calc'!$T$2:$T$31</c:f>
              <c:numCache>
                <c:formatCode>General</c:formatCode>
                <c:ptCount val="3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</c:numCache>
            </c:numRef>
          </c:xVal>
          <c:yVal>
            <c:numRef>
              <c:f>'P. zijsron Calc'!$AB$2:$AB$31</c:f>
              <c:numCache>
                <c:formatCode>General</c:formatCode>
                <c:ptCount val="30"/>
                <c:pt idx="0">
                  <c:v>619.73767343559336</c:v>
                </c:pt>
                <c:pt idx="1">
                  <c:v>821.85989018528846</c:v>
                </c:pt>
                <c:pt idx="2">
                  <c:v>1023.0241607111619</c:v>
                </c:pt>
                <c:pt idx="3">
                  <c:v>1223.428319467366</c:v>
                </c:pt>
                <c:pt idx="4">
                  <c:v>1423.202569450893</c:v>
                </c:pt>
                <c:pt idx="5">
                  <c:v>1622.4391502826986</c:v>
                </c:pt>
                <c:pt idx="6">
                  <c:v>1821.2068392062481</c:v>
                </c:pt>
                <c:pt idx="7">
                  <c:v>2019.5588929990111</c:v>
                </c:pt>
                <c:pt idx="8">
                  <c:v>2217.5377665350329</c:v>
                </c:pt>
                <c:pt idx="9">
                  <c:v>2415.17809394606</c:v>
                </c:pt>
                <c:pt idx="10">
                  <c:v>2612.5086650735389</c:v>
                </c:pt>
                <c:pt idx="11">
                  <c:v>2809.5537877380557</c:v>
                </c:pt>
                <c:pt idx="12">
                  <c:v>3006.3342572541346</c:v>
                </c:pt>
                <c:pt idx="13">
                  <c:v>3202.8680652326184</c:v>
                </c:pt>
                <c:pt idx="14">
                  <c:v>3399.1709297859561</c:v>
                </c:pt>
                <c:pt idx="15">
                  <c:v>3595.256700049767</c:v>
                </c:pt>
                <c:pt idx="16">
                  <c:v>3791.1376701726454</c:v>
                </c:pt>
                <c:pt idx="17">
                  <c:v>3986.8248267529757</c:v>
                </c:pt>
                <c:pt idx="18">
                  <c:v>4182.328046463741</c:v>
                </c:pt>
                <c:pt idx="19">
                  <c:v>4377.6562557953348</c:v>
                </c:pt>
                <c:pt idx="20">
                  <c:v>4572.8175615748905</c:v>
                </c:pt>
                <c:pt idx="21">
                  <c:v>4767.8193586498228</c:v>
                </c:pt>
                <c:pt idx="22">
                  <c:v>4962.6684195183989</c:v>
                </c:pt>
                <c:pt idx="23">
                  <c:v>5157.3709695365451</c:v>
                </c:pt>
                <c:pt idx="24">
                  <c:v>5351.9327504886778</c:v>
                </c:pt>
                <c:pt idx="25">
                  <c:v>5546.3590746880127</c:v>
                </c:pt>
                <c:pt idx="26">
                  <c:v>5740.6548713056873</c:v>
                </c:pt>
                <c:pt idx="27">
                  <c:v>5934.8247262748291</c:v>
                </c:pt>
                <c:pt idx="28">
                  <c:v>6128.8729168455138</c:v>
                </c:pt>
                <c:pt idx="29">
                  <c:v>6322.80344165726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DE-FB4A-99DC-3BE8B4B5B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100656"/>
        <c:axId val="1961421680"/>
      </c:scatterChart>
      <c:valAx>
        <c:axId val="1961100656"/>
        <c:scaling>
          <c:orientation val="minMax"/>
          <c:max val="19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SRL (mm)</a:t>
                </a:r>
              </a:p>
            </c:rich>
          </c:tx>
          <c:layout>
            <c:manualLayout>
              <c:xMode val="edge"/>
              <c:yMode val="edge"/>
              <c:x val="0.48837682796745646"/>
              <c:y val="0.7667523299377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21680"/>
        <c:crosses val="autoZero"/>
        <c:crossBetween val="midCat"/>
      </c:valAx>
      <c:valAx>
        <c:axId val="1961421680"/>
        <c:scaling>
          <c:orientation val="minMax"/>
          <c:max val="70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Length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0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9.0086196190861292E-2"/>
          <c:y val="0.79481328516767691"/>
          <c:w val="0.89999993075861551"/>
          <c:h val="3.954588387712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 TRL (linear)</a:t>
            </a:r>
          </a:p>
        </c:rich>
      </c:tx>
      <c:layout>
        <c:manualLayout>
          <c:xMode val="edge"/>
          <c:yMode val="edge"/>
          <c:x val="0.2969362192423628"/>
          <c:y val="4.2448573349129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A. cuspidata'!$J$1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520091818169333E-3"/>
                  <c:y val="-0.174567622471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A. cuspidata'!$G$2:$G$14</c:f>
              <c:numCache>
                <c:formatCode>General</c:formatCode>
                <c:ptCount val="13"/>
                <c:pt idx="0">
                  <c:v>210.66300000000001</c:v>
                </c:pt>
                <c:pt idx="1">
                  <c:v>189.66</c:v>
                </c:pt>
                <c:pt idx="2">
                  <c:v>194.47200000000004</c:v>
                </c:pt>
                <c:pt idx="3">
                  <c:v>178.29600000000002</c:v>
                </c:pt>
                <c:pt idx="4">
                  <c:v>207.26999999999998</c:v>
                </c:pt>
                <c:pt idx="5">
                  <c:v>230.91099999999997</c:v>
                </c:pt>
                <c:pt idx="6">
                  <c:v>299.80500000000001</c:v>
                </c:pt>
                <c:pt idx="7">
                  <c:v>169.07</c:v>
                </c:pt>
                <c:pt idx="8">
                  <c:v>192.76600000000002</c:v>
                </c:pt>
                <c:pt idx="9">
                  <c:v>569.5</c:v>
                </c:pt>
              </c:numCache>
            </c:numRef>
          </c:xVal>
          <c:yVal>
            <c:numRef>
              <c:f>'Faria - A. cuspidata'!$J$2:$J$14</c:f>
              <c:numCache>
                <c:formatCode>General</c:formatCode>
                <c:ptCount val="13"/>
                <c:pt idx="0">
                  <c:v>801</c:v>
                </c:pt>
                <c:pt idx="1">
                  <c:v>654</c:v>
                </c:pt>
                <c:pt idx="2">
                  <c:v>657</c:v>
                </c:pt>
                <c:pt idx="3">
                  <c:v>646</c:v>
                </c:pt>
                <c:pt idx="4">
                  <c:v>705</c:v>
                </c:pt>
                <c:pt idx="5">
                  <c:v>799</c:v>
                </c:pt>
                <c:pt idx="6">
                  <c:v>1185</c:v>
                </c:pt>
                <c:pt idx="7">
                  <c:v>583</c:v>
                </c:pt>
                <c:pt idx="8">
                  <c:v>686</c:v>
                </c:pt>
                <c:pt idx="9">
                  <c:v>2125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1-7247-9A11-343DF69D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208288"/>
        <c:axId val="2010379408"/>
      </c:scatterChart>
      <c:valAx>
        <c:axId val="201020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79408"/>
        <c:crosses val="autoZero"/>
        <c:crossBetween val="midCat"/>
      </c:valAx>
      <c:valAx>
        <c:axId val="20103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0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 TRL (power)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A. cuspidata'!$J$1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0430227471566054E-2"/>
                  <c:y val="-0.162384441528142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A. cuspidata'!$G$2:$G$11</c:f>
              <c:numCache>
                <c:formatCode>General</c:formatCode>
                <c:ptCount val="10"/>
                <c:pt idx="0">
                  <c:v>210.66300000000001</c:v>
                </c:pt>
                <c:pt idx="1">
                  <c:v>189.66</c:v>
                </c:pt>
                <c:pt idx="2">
                  <c:v>194.47200000000004</c:v>
                </c:pt>
                <c:pt idx="3">
                  <c:v>178.29600000000002</c:v>
                </c:pt>
                <c:pt idx="4">
                  <c:v>207.26999999999998</c:v>
                </c:pt>
                <c:pt idx="5">
                  <c:v>230.91099999999997</c:v>
                </c:pt>
                <c:pt idx="6">
                  <c:v>299.80500000000001</c:v>
                </c:pt>
                <c:pt idx="7">
                  <c:v>169.07</c:v>
                </c:pt>
                <c:pt idx="8">
                  <c:v>192.76600000000002</c:v>
                </c:pt>
                <c:pt idx="9">
                  <c:v>569.5</c:v>
                </c:pt>
              </c:numCache>
            </c:numRef>
          </c:xVal>
          <c:yVal>
            <c:numRef>
              <c:f>'Faria - A. cuspidata'!$J$2:$J$11</c:f>
              <c:numCache>
                <c:formatCode>General</c:formatCode>
                <c:ptCount val="10"/>
                <c:pt idx="0">
                  <c:v>801</c:v>
                </c:pt>
                <c:pt idx="1">
                  <c:v>654</c:v>
                </c:pt>
                <c:pt idx="2">
                  <c:v>657</c:v>
                </c:pt>
                <c:pt idx="3">
                  <c:v>646</c:v>
                </c:pt>
                <c:pt idx="4">
                  <c:v>705</c:v>
                </c:pt>
                <c:pt idx="5">
                  <c:v>799</c:v>
                </c:pt>
                <c:pt idx="6">
                  <c:v>1185</c:v>
                </c:pt>
                <c:pt idx="7">
                  <c:v>583</c:v>
                </c:pt>
                <c:pt idx="8">
                  <c:v>686</c:v>
                </c:pt>
                <c:pt idx="9">
                  <c:v>2125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E-704A-8CAB-6BF18BEE1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66544"/>
        <c:axId val="2013264016"/>
      </c:scatterChart>
      <c:valAx>
        <c:axId val="201316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64016"/>
        <c:crosses val="autoZero"/>
        <c:crossBetween val="midCat"/>
      </c:valAx>
      <c:valAx>
        <c:axId val="20132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6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v. SRL (linear)</a:t>
            </a:r>
          </a:p>
        </c:rich>
      </c:tx>
      <c:layout>
        <c:manualLayout>
          <c:xMode val="edge"/>
          <c:yMode val="edge"/>
          <c:x val="0.2866596675415573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A. cuspidata'!$J$1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083114610673665E-4"/>
                  <c:y val="-0.17024825021872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A. cuspidata'!$H$2:$H$14</c:f>
              <c:numCache>
                <c:formatCode>General</c:formatCode>
                <c:ptCount val="13"/>
                <c:pt idx="0">
                  <c:v>170.61300000000003</c:v>
                </c:pt>
                <c:pt idx="1">
                  <c:v>153.69</c:v>
                </c:pt>
                <c:pt idx="2">
                  <c:v>157.023</c:v>
                </c:pt>
                <c:pt idx="3">
                  <c:v>148.58000000000001</c:v>
                </c:pt>
                <c:pt idx="4">
                  <c:v>172.72499999999999</c:v>
                </c:pt>
                <c:pt idx="6">
                  <c:v>227.52</c:v>
                </c:pt>
                <c:pt idx="7">
                  <c:v>137.005</c:v>
                </c:pt>
                <c:pt idx="8">
                  <c:v>158.46600000000001</c:v>
                </c:pt>
                <c:pt idx="9">
                  <c:v>456.875</c:v>
                </c:pt>
              </c:numCache>
            </c:numRef>
          </c:xVal>
          <c:yVal>
            <c:numRef>
              <c:f>'Faria - A. cuspidata'!$J$2:$J$14</c:f>
              <c:numCache>
                <c:formatCode>General</c:formatCode>
                <c:ptCount val="13"/>
                <c:pt idx="0">
                  <c:v>801</c:v>
                </c:pt>
                <c:pt idx="1">
                  <c:v>654</c:v>
                </c:pt>
                <c:pt idx="2">
                  <c:v>657</c:v>
                </c:pt>
                <c:pt idx="3">
                  <c:v>646</c:v>
                </c:pt>
                <c:pt idx="4">
                  <c:v>705</c:v>
                </c:pt>
                <c:pt idx="5">
                  <c:v>799</c:v>
                </c:pt>
                <c:pt idx="6">
                  <c:v>1185</c:v>
                </c:pt>
                <c:pt idx="7">
                  <c:v>583</c:v>
                </c:pt>
                <c:pt idx="8">
                  <c:v>686</c:v>
                </c:pt>
                <c:pt idx="9">
                  <c:v>2125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6-3F4E-86C0-29396A4CF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783440"/>
        <c:axId val="2010665344"/>
      </c:scatterChart>
      <c:valAx>
        <c:axId val="201078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65344"/>
        <c:crosses val="autoZero"/>
        <c:crossBetween val="midCat"/>
      </c:valAx>
      <c:valAx>
        <c:axId val="201066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vs. SRL (power)</a:t>
            </a:r>
          </a:p>
        </c:rich>
      </c:tx>
      <c:layout>
        <c:manualLayout>
          <c:xMode val="edge"/>
          <c:yMode val="edge"/>
          <c:x val="0.239534558180227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A. cuspidata'!$J$1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0760279965004374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A. cuspidata'!$H$2:$H$11</c:f>
              <c:numCache>
                <c:formatCode>General</c:formatCode>
                <c:ptCount val="10"/>
                <c:pt idx="0">
                  <c:v>170.61300000000003</c:v>
                </c:pt>
                <c:pt idx="1">
                  <c:v>153.69</c:v>
                </c:pt>
                <c:pt idx="2">
                  <c:v>157.023</c:v>
                </c:pt>
                <c:pt idx="3">
                  <c:v>148.58000000000001</c:v>
                </c:pt>
                <c:pt idx="4">
                  <c:v>172.72499999999999</c:v>
                </c:pt>
                <c:pt idx="6">
                  <c:v>227.52</c:v>
                </c:pt>
                <c:pt idx="7">
                  <c:v>137.005</c:v>
                </c:pt>
                <c:pt idx="8">
                  <c:v>158.46600000000001</c:v>
                </c:pt>
                <c:pt idx="9">
                  <c:v>456.875</c:v>
                </c:pt>
              </c:numCache>
            </c:numRef>
          </c:xVal>
          <c:yVal>
            <c:numRef>
              <c:f>'Faria - A. cuspidata'!$J$2:$J$11</c:f>
              <c:numCache>
                <c:formatCode>General</c:formatCode>
                <c:ptCount val="10"/>
                <c:pt idx="0">
                  <c:v>801</c:v>
                </c:pt>
                <c:pt idx="1">
                  <c:v>654</c:v>
                </c:pt>
                <c:pt idx="2">
                  <c:v>657</c:v>
                </c:pt>
                <c:pt idx="3">
                  <c:v>646</c:v>
                </c:pt>
                <c:pt idx="4">
                  <c:v>705</c:v>
                </c:pt>
                <c:pt idx="5">
                  <c:v>799</c:v>
                </c:pt>
                <c:pt idx="6">
                  <c:v>1185</c:v>
                </c:pt>
                <c:pt idx="7">
                  <c:v>583</c:v>
                </c:pt>
                <c:pt idx="8">
                  <c:v>686</c:v>
                </c:pt>
                <c:pt idx="9">
                  <c:v>2125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6-9646-94A4-4F1CB1A2A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199"/>
        <c:axId val="12968847"/>
      </c:scatterChart>
      <c:valAx>
        <c:axId val="1296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847"/>
        <c:crosses val="autoZero"/>
        <c:crossBetween val="midCat"/>
      </c:valAx>
      <c:valAx>
        <c:axId val="1296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Faria</a:t>
            </a:r>
            <a:r>
              <a:rPr lang="en-US" baseline="0"/>
              <a:t> Linear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clavata'!$I$1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406386701662294E-2"/>
                  <c:y val="2.3647294589178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clavata'!$I$2:$I$15</c:f>
              <c:numCache>
                <c:formatCode>General</c:formatCode>
                <c:ptCount val="14"/>
                <c:pt idx="0">
                  <c:v>141.91800000000001</c:v>
                </c:pt>
                <c:pt idx="1">
                  <c:v>135.30000000000001</c:v>
                </c:pt>
                <c:pt idx="2">
                  <c:v>149.96800000000002</c:v>
                </c:pt>
                <c:pt idx="3">
                  <c:v>175.595</c:v>
                </c:pt>
                <c:pt idx="4">
                  <c:v>242.49999999999997</c:v>
                </c:pt>
                <c:pt idx="5">
                  <c:v>162.74</c:v>
                </c:pt>
                <c:pt idx="6">
                  <c:v>183.07999999999998</c:v>
                </c:pt>
              </c:numCache>
            </c:numRef>
          </c:xVal>
          <c:yVal>
            <c:numRef>
              <c:f>'Faria - P. clavata'!$K$2:$K$15</c:f>
              <c:numCache>
                <c:formatCode>General</c:formatCode>
                <c:ptCount val="14"/>
                <c:pt idx="0">
                  <c:v>654</c:v>
                </c:pt>
                <c:pt idx="1">
                  <c:v>615</c:v>
                </c:pt>
                <c:pt idx="2">
                  <c:v>728</c:v>
                </c:pt>
                <c:pt idx="3">
                  <c:v>865</c:v>
                </c:pt>
                <c:pt idx="4">
                  <c:v>1250</c:v>
                </c:pt>
                <c:pt idx="5">
                  <c:v>790</c:v>
                </c:pt>
                <c:pt idx="6">
                  <c:v>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9-D344-BE36-F73C985B09F7}"/>
            </c:ext>
          </c:extLst>
        </c:ser>
        <c:ser>
          <c:idx val="1"/>
          <c:order val="1"/>
          <c:tx>
            <c:strRef>
              <c:f>'Faria - P. clavata'!$H$1</c:f>
              <c:strCache>
                <c:ptCount val="1"/>
                <c:pt idx="0">
                  <c:v>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581211723534559"/>
                  <c:y val="0.21249999999999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clavata'!$H$2:$H$8</c:f>
              <c:numCache>
                <c:formatCode>General</c:formatCode>
                <c:ptCount val="7"/>
                <c:pt idx="0">
                  <c:v>145.18799999999999</c:v>
                </c:pt>
                <c:pt idx="1">
                  <c:v>138.99</c:v>
                </c:pt>
                <c:pt idx="2">
                  <c:v>154.33599999999998</c:v>
                </c:pt>
                <c:pt idx="3">
                  <c:v>185.97499999999999</c:v>
                </c:pt>
                <c:pt idx="4">
                  <c:v>254.99999999999997</c:v>
                </c:pt>
                <c:pt idx="5">
                  <c:v>164.32000000000002</c:v>
                </c:pt>
                <c:pt idx="6">
                  <c:v>189.52</c:v>
                </c:pt>
              </c:numCache>
            </c:numRef>
          </c:xVal>
          <c:yVal>
            <c:numRef>
              <c:f>'Faria - P. clavata'!$K$2:$K$8</c:f>
              <c:numCache>
                <c:formatCode>General</c:formatCode>
                <c:ptCount val="7"/>
                <c:pt idx="0">
                  <c:v>654</c:v>
                </c:pt>
                <c:pt idx="1">
                  <c:v>615</c:v>
                </c:pt>
                <c:pt idx="2">
                  <c:v>728</c:v>
                </c:pt>
                <c:pt idx="3">
                  <c:v>865</c:v>
                </c:pt>
                <c:pt idx="4">
                  <c:v>1250</c:v>
                </c:pt>
                <c:pt idx="5">
                  <c:v>790</c:v>
                </c:pt>
                <c:pt idx="6">
                  <c:v>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12-7142-900C-C01D92B4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58496"/>
        <c:axId val="1086608240"/>
      </c:scatterChart>
      <c:valAx>
        <c:axId val="61905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08240"/>
        <c:crosses val="autoZero"/>
        <c:crossBetween val="midCat"/>
      </c:valAx>
      <c:valAx>
        <c:axId val="10866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5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Faria</a:t>
            </a:r>
            <a:r>
              <a:rPr lang="en-US" baseline="0"/>
              <a:t>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clavata'!$I$1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6406386701662294E-2"/>
                  <c:y val="2.3647294589178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clavata'!$I$2:$I$15</c:f>
              <c:numCache>
                <c:formatCode>General</c:formatCode>
                <c:ptCount val="14"/>
                <c:pt idx="0">
                  <c:v>141.91800000000001</c:v>
                </c:pt>
                <c:pt idx="1">
                  <c:v>135.30000000000001</c:v>
                </c:pt>
                <c:pt idx="2">
                  <c:v>149.96800000000002</c:v>
                </c:pt>
                <c:pt idx="3">
                  <c:v>175.595</c:v>
                </c:pt>
                <c:pt idx="4">
                  <c:v>242.49999999999997</c:v>
                </c:pt>
                <c:pt idx="5">
                  <c:v>162.74</c:v>
                </c:pt>
                <c:pt idx="6">
                  <c:v>183.07999999999998</c:v>
                </c:pt>
              </c:numCache>
            </c:numRef>
          </c:xVal>
          <c:yVal>
            <c:numRef>
              <c:f>'Faria - P. clavata'!$K$2:$K$15</c:f>
              <c:numCache>
                <c:formatCode>General</c:formatCode>
                <c:ptCount val="14"/>
                <c:pt idx="0">
                  <c:v>654</c:v>
                </c:pt>
                <c:pt idx="1">
                  <c:v>615</c:v>
                </c:pt>
                <c:pt idx="2">
                  <c:v>728</c:v>
                </c:pt>
                <c:pt idx="3">
                  <c:v>865</c:v>
                </c:pt>
                <c:pt idx="4">
                  <c:v>1250</c:v>
                </c:pt>
                <c:pt idx="5">
                  <c:v>790</c:v>
                </c:pt>
                <c:pt idx="6">
                  <c:v>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39-B64B-9717-0D7C2D322DCA}"/>
            </c:ext>
          </c:extLst>
        </c:ser>
        <c:ser>
          <c:idx val="1"/>
          <c:order val="1"/>
          <c:tx>
            <c:strRef>
              <c:f>'Faria - P. clavata'!$H$1</c:f>
              <c:strCache>
                <c:ptCount val="1"/>
                <c:pt idx="0">
                  <c:v>TRL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645450568678915E-2"/>
                  <c:y val="0.19599198396793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clavata'!$H$2:$H$8</c:f>
              <c:numCache>
                <c:formatCode>General</c:formatCode>
                <c:ptCount val="7"/>
                <c:pt idx="0">
                  <c:v>145.18799999999999</c:v>
                </c:pt>
                <c:pt idx="1">
                  <c:v>138.99</c:v>
                </c:pt>
                <c:pt idx="2">
                  <c:v>154.33599999999998</c:v>
                </c:pt>
                <c:pt idx="3">
                  <c:v>185.97499999999999</c:v>
                </c:pt>
                <c:pt idx="4">
                  <c:v>254.99999999999997</c:v>
                </c:pt>
                <c:pt idx="5">
                  <c:v>164.32000000000002</c:v>
                </c:pt>
                <c:pt idx="6">
                  <c:v>189.52</c:v>
                </c:pt>
              </c:numCache>
            </c:numRef>
          </c:xVal>
          <c:yVal>
            <c:numRef>
              <c:f>'Faria - P. clavata'!$K$2:$K$8</c:f>
              <c:numCache>
                <c:formatCode>General</c:formatCode>
                <c:ptCount val="7"/>
                <c:pt idx="0">
                  <c:v>654</c:v>
                </c:pt>
                <c:pt idx="1">
                  <c:v>615</c:v>
                </c:pt>
                <c:pt idx="2">
                  <c:v>728</c:v>
                </c:pt>
                <c:pt idx="3">
                  <c:v>865</c:v>
                </c:pt>
                <c:pt idx="4">
                  <c:v>1250</c:v>
                </c:pt>
                <c:pt idx="5">
                  <c:v>790</c:v>
                </c:pt>
                <c:pt idx="6">
                  <c:v>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39-B64B-9717-0D7C2D32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58496"/>
        <c:axId val="1086608240"/>
      </c:scatterChart>
      <c:valAx>
        <c:axId val="61905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08240"/>
        <c:crosses val="autoZero"/>
        <c:crossBetween val="midCat"/>
      </c:valAx>
      <c:valAx>
        <c:axId val="10866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5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Pristis</a:t>
            </a:r>
            <a:r>
              <a:rPr lang="en-GB" baseline="0"/>
              <a:t> Linear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prists'!$I$1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929209313295113"/>
                  <c:y val="0.213242364929394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prists'!$I$2:$I$11</c:f>
              <c:numCache>
                <c:formatCode>General</c:formatCode>
                <c:ptCount val="10"/>
                <c:pt idx="0">
                  <c:v>229.82999999999998</c:v>
                </c:pt>
                <c:pt idx="1">
                  <c:v>271.7</c:v>
                </c:pt>
                <c:pt idx="2">
                  <c:v>207.417</c:v>
                </c:pt>
                <c:pt idx="3">
                  <c:v>212.184</c:v>
                </c:pt>
                <c:pt idx="4">
                  <c:v>213.44</c:v>
                </c:pt>
                <c:pt idx="5">
                  <c:v>269.56799999999998</c:v>
                </c:pt>
                <c:pt idx="6">
                  <c:v>260.78000000000003</c:v>
                </c:pt>
                <c:pt idx="7">
                  <c:v>220.08</c:v>
                </c:pt>
                <c:pt idx="8">
                  <c:v>585.17600000000004</c:v>
                </c:pt>
                <c:pt idx="9">
                  <c:v>574.52</c:v>
                </c:pt>
              </c:numCache>
            </c:numRef>
          </c:xVal>
          <c:yVal>
            <c:numRef>
              <c:f>'Faria - P. prists'!$K$2:$K$11</c:f>
              <c:numCache>
                <c:formatCode>General</c:formatCode>
                <c:ptCount val="10"/>
                <c:pt idx="0">
                  <c:v>978</c:v>
                </c:pt>
                <c:pt idx="1">
                  <c:v>1235</c:v>
                </c:pt>
                <c:pt idx="2">
                  <c:v>833</c:v>
                </c:pt>
                <c:pt idx="3">
                  <c:v>842</c:v>
                </c:pt>
                <c:pt idx="4">
                  <c:v>928</c:v>
                </c:pt>
                <c:pt idx="5">
                  <c:v>1152</c:v>
                </c:pt>
                <c:pt idx="6">
                  <c:v>1180</c:v>
                </c:pt>
                <c:pt idx="7">
                  <c:v>840</c:v>
                </c:pt>
                <c:pt idx="8">
                  <c:v>3032</c:v>
                </c:pt>
                <c:pt idx="9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0-574A-BB3F-68A605B79EEE}"/>
            </c:ext>
          </c:extLst>
        </c:ser>
        <c:ser>
          <c:idx val="1"/>
          <c:order val="1"/>
          <c:tx>
            <c:strRef>
              <c:f>'Faria - P. prists'!$H$1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3140857392826"/>
                  <c:y val="0.184875692621755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prists'!$H$2:$H$11</c:f>
              <c:numCache>
                <c:formatCode>General</c:formatCode>
                <c:ptCount val="10"/>
                <c:pt idx="0">
                  <c:v>238.63200000000001</c:v>
                </c:pt>
                <c:pt idx="1">
                  <c:v>286.52</c:v>
                </c:pt>
                <c:pt idx="2">
                  <c:v>214.91400000000002</c:v>
                </c:pt>
                <c:pt idx="3">
                  <c:v>224.81400000000002</c:v>
                </c:pt>
                <c:pt idx="4">
                  <c:v>232</c:v>
                </c:pt>
                <c:pt idx="5">
                  <c:v>284.54399999999998</c:v>
                </c:pt>
                <c:pt idx="6">
                  <c:v>274.94</c:v>
                </c:pt>
                <c:pt idx="7">
                  <c:v>231.00000000000003</c:v>
                </c:pt>
                <c:pt idx="8">
                  <c:v>609.43200000000002</c:v>
                </c:pt>
                <c:pt idx="9">
                  <c:v>558.26</c:v>
                </c:pt>
              </c:numCache>
            </c:numRef>
          </c:xVal>
          <c:yVal>
            <c:numRef>
              <c:f>'Faria - P. prists'!$K$2:$K$11</c:f>
              <c:numCache>
                <c:formatCode>General</c:formatCode>
                <c:ptCount val="10"/>
                <c:pt idx="0">
                  <c:v>978</c:v>
                </c:pt>
                <c:pt idx="1">
                  <c:v>1235</c:v>
                </c:pt>
                <c:pt idx="2">
                  <c:v>833</c:v>
                </c:pt>
                <c:pt idx="3">
                  <c:v>842</c:v>
                </c:pt>
                <c:pt idx="4">
                  <c:v>928</c:v>
                </c:pt>
                <c:pt idx="5">
                  <c:v>1152</c:v>
                </c:pt>
                <c:pt idx="6">
                  <c:v>1180</c:v>
                </c:pt>
                <c:pt idx="7">
                  <c:v>840</c:v>
                </c:pt>
                <c:pt idx="8">
                  <c:v>3032</c:v>
                </c:pt>
                <c:pt idx="9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0-574A-BB3F-68A605B7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864944"/>
        <c:axId val="1413866592"/>
      </c:scatterChart>
      <c:valAx>
        <c:axId val="14138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66592"/>
        <c:crosses val="autoZero"/>
        <c:crossBetween val="midCat"/>
      </c:valAx>
      <c:valAx>
        <c:axId val="14138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6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Pristis</a:t>
            </a:r>
            <a:r>
              <a:rPr lang="en-GB" baseline="0"/>
              <a:t> Exp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prists'!$I$1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838059639432231"/>
                  <c:y val="0.169243584135316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prists'!$I$2:$I$11</c:f>
              <c:numCache>
                <c:formatCode>General</c:formatCode>
                <c:ptCount val="10"/>
                <c:pt idx="0">
                  <c:v>229.82999999999998</c:v>
                </c:pt>
                <c:pt idx="1">
                  <c:v>271.7</c:v>
                </c:pt>
                <c:pt idx="2">
                  <c:v>207.417</c:v>
                </c:pt>
                <c:pt idx="3">
                  <c:v>212.184</c:v>
                </c:pt>
                <c:pt idx="4">
                  <c:v>213.44</c:v>
                </c:pt>
                <c:pt idx="5">
                  <c:v>269.56799999999998</c:v>
                </c:pt>
                <c:pt idx="6">
                  <c:v>260.78000000000003</c:v>
                </c:pt>
                <c:pt idx="7">
                  <c:v>220.08</c:v>
                </c:pt>
                <c:pt idx="8">
                  <c:v>585.17600000000004</c:v>
                </c:pt>
                <c:pt idx="9">
                  <c:v>574.52</c:v>
                </c:pt>
              </c:numCache>
            </c:numRef>
          </c:xVal>
          <c:yVal>
            <c:numRef>
              <c:f>'Faria - P. prists'!$K$2:$K$11</c:f>
              <c:numCache>
                <c:formatCode>General</c:formatCode>
                <c:ptCount val="10"/>
                <c:pt idx="0">
                  <c:v>978</c:v>
                </c:pt>
                <c:pt idx="1">
                  <c:v>1235</c:v>
                </c:pt>
                <c:pt idx="2">
                  <c:v>833</c:v>
                </c:pt>
                <c:pt idx="3">
                  <c:v>842</c:v>
                </c:pt>
                <c:pt idx="4">
                  <c:v>928</c:v>
                </c:pt>
                <c:pt idx="5">
                  <c:v>1152</c:v>
                </c:pt>
                <c:pt idx="6">
                  <c:v>1180</c:v>
                </c:pt>
                <c:pt idx="7">
                  <c:v>840</c:v>
                </c:pt>
                <c:pt idx="8">
                  <c:v>3032</c:v>
                </c:pt>
                <c:pt idx="9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7-4544-8960-AB31DF2A111C}"/>
            </c:ext>
          </c:extLst>
        </c:ser>
        <c:ser>
          <c:idx val="1"/>
          <c:order val="1"/>
          <c:tx>
            <c:strRef>
              <c:f>'Faria - P. prists'!$H$1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244567191746946E-3"/>
                  <c:y val="-6.0648148148148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prists'!$H$2:$H$11</c:f>
              <c:numCache>
                <c:formatCode>General</c:formatCode>
                <c:ptCount val="10"/>
                <c:pt idx="0">
                  <c:v>238.63200000000001</c:v>
                </c:pt>
                <c:pt idx="1">
                  <c:v>286.52</c:v>
                </c:pt>
                <c:pt idx="2">
                  <c:v>214.91400000000002</c:v>
                </c:pt>
                <c:pt idx="3">
                  <c:v>224.81400000000002</c:v>
                </c:pt>
                <c:pt idx="4">
                  <c:v>232</c:v>
                </c:pt>
                <c:pt idx="5">
                  <c:v>284.54399999999998</c:v>
                </c:pt>
                <c:pt idx="6">
                  <c:v>274.94</c:v>
                </c:pt>
                <c:pt idx="7">
                  <c:v>231.00000000000003</c:v>
                </c:pt>
                <c:pt idx="8">
                  <c:v>609.43200000000002</c:v>
                </c:pt>
                <c:pt idx="9">
                  <c:v>558.26</c:v>
                </c:pt>
              </c:numCache>
            </c:numRef>
          </c:xVal>
          <c:yVal>
            <c:numRef>
              <c:f>'Faria - P. prists'!$K$2:$K$11</c:f>
              <c:numCache>
                <c:formatCode>General</c:formatCode>
                <c:ptCount val="10"/>
                <c:pt idx="0">
                  <c:v>978</c:v>
                </c:pt>
                <c:pt idx="1">
                  <c:v>1235</c:v>
                </c:pt>
                <c:pt idx="2">
                  <c:v>833</c:v>
                </c:pt>
                <c:pt idx="3">
                  <c:v>842</c:v>
                </c:pt>
                <c:pt idx="4">
                  <c:v>928</c:v>
                </c:pt>
                <c:pt idx="5">
                  <c:v>1152</c:v>
                </c:pt>
                <c:pt idx="6">
                  <c:v>1180</c:v>
                </c:pt>
                <c:pt idx="7">
                  <c:v>840</c:v>
                </c:pt>
                <c:pt idx="8">
                  <c:v>3032</c:v>
                </c:pt>
                <c:pt idx="9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E7-4544-8960-AB31DF2A1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864944"/>
        <c:axId val="1413866592"/>
      </c:scatterChart>
      <c:valAx>
        <c:axId val="14138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66592"/>
        <c:crosses val="autoZero"/>
        <c:crossBetween val="midCat"/>
      </c:valAx>
      <c:valAx>
        <c:axId val="14138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6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 TRL (linear)</a:t>
            </a:r>
          </a:p>
        </c:rich>
      </c:tx>
      <c:layout>
        <c:manualLayout>
          <c:xMode val="edge"/>
          <c:yMode val="edge"/>
          <c:x val="0.20423612074830785"/>
          <c:y val="3.7433160990961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zijsron'!$L$1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049868766404199E-4"/>
                  <c:y val="-0.15115866258774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zijsron'!$H$2:$H$12</c:f>
              <c:numCache>
                <c:formatCode>General</c:formatCode>
                <c:ptCount val="11"/>
                <c:pt idx="0">
                  <c:v>383.4</c:v>
                </c:pt>
                <c:pt idx="1">
                  <c:v>227.2</c:v>
                </c:pt>
                <c:pt idx="2">
                  <c:v>180</c:v>
                </c:pt>
                <c:pt idx="3">
                  <c:v>194.2</c:v>
                </c:pt>
                <c:pt idx="4">
                  <c:v>443.5</c:v>
                </c:pt>
                <c:pt idx="5">
                  <c:v>255.3</c:v>
                </c:pt>
                <c:pt idx="6">
                  <c:v>1029.7</c:v>
                </c:pt>
                <c:pt idx="7">
                  <c:v>854</c:v>
                </c:pt>
                <c:pt idx="8">
                  <c:v>499.4</c:v>
                </c:pt>
              </c:numCache>
            </c:numRef>
          </c:xVal>
          <c:yVal>
            <c:numRef>
              <c:f>'Faria - P. zijsron'!$L$2:$L$12</c:f>
              <c:numCache>
                <c:formatCode>General</c:formatCode>
                <c:ptCount val="11"/>
                <c:pt idx="0">
                  <c:v>1565</c:v>
                </c:pt>
                <c:pt idx="1">
                  <c:v>920</c:v>
                </c:pt>
                <c:pt idx="2">
                  <c:v>723</c:v>
                </c:pt>
                <c:pt idx="3">
                  <c:v>714</c:v>
                </c:pt>
                <c:pt idx="4">
                  <c:v>1848</c:v>
                </c:pt>
                <c:pt idx="5">
                  <c:v>1005</c:v>
                </c:pt>
                <c:pt idx="6">
                  <c:v>3365</c:v>
                </c:pt>
                <c:pt idx="7">
                  <c:v>3416</c:v>
                </c:pt>
                <c:pt idx="8">
                  <c:v>2030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B-064D-BABF-7953A1100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840544"/>
        <c:axId val="1972591104"/>
      </c:scatterChart>
      <c:valAx>
        <c:axId val="197284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91104"/>
        <c:crosses val="autoZero"/>
        <c:crossBetween val="midCat"/>
      </c:valAx>
      <c:valAx>
        <c:axId val="19725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4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</a:t>
            </a:r>
            <a:r>
              <a:rPr lang="en-US" baseline="0"/>
              <a:t> vs TRL (power)</a:t>
            </a:r>
            <a:endParaRPr lang="en-US"/>
          </a:p>
        </c:rich>
      </c:tx>
      <c:layout>
        <c:manualLayout>
          <c:xMode val="edge"/>
          <c:yMode val="edge"/>
          <c:x val="0.21544367058928662"/>
          <c:y val="3.3004219268301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zijsron'!$L$1</c:f>
              <c:strCache>
                <c:ptCount val="1"/>
                <c:pt idx="0">
                  <c:v>TL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6006124234470687E-3"/>
                  <c:y val="-0.180687518226888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zijsron'!$H$2:$H$12</c:f>
              <c:numCache>
                <c:formatCode>General</c:formatCode>
                <c:ptCount val="11"/>
                <c:pt idx="0">
                  <c:v>383.4</c:v>
                </c:pt>
                <c:pt idx="1">
                  <c:v>227.2</c:v>
                </c:pt>
                <c:pt idx="2">
                  <c:v>180</c:v>
                </c:pt>
                <c:pt idx="3">
                  <c:v>194.2</c:v>
                </c:pt>
                <c:pt idx="4">
                  <c:v>443.5</c:v>
                </c:pt>
                <c:pt idx="5">
                  <c:v>255.3</c:v>
                </c:pt>
                <c:pt idx="6">
                  <c:v>1029.7</c:v>
                </c:pt>
                <c:pt idx="7">
                  <c:v>854</c:v>
                </c:pt>
                <c:pt idx="8">
                  <c:v>499.4</c:v>
                </c:pt>
              </c:numCache>
            </c:numRef>
          </c:xVal>
          <c:yVal>
            <c:numRef>
              <c:f>'Faria - P. zijsron'!$L$2:$L$12</c:f>
              <c:numCache>
                <c:formatCode>General</c:formatCode>
                <c:ptCount val="11"/>
                <c:pt idx="0">
                  <c:v>1565</c:v>
                </c:pt>
                <c:pt idx="1">
                  <c:v>920</c:v>
                </c:pt>
                <c:pt idx="2">
                  <c:v>723</c:v>
                </c:pt>
                <c:pt idx="3">
                  <c:v>714</c:v>
                </c:pt>
                <c:pt idx="4">
                  <c:v>1848</c:v>
                </c:pt>
                <c:pt idx="5">
                  <c:v>1005</c:v>
                </c:pt>
                <c:pt idx="6">
                  <c:v>3365</c:v>
                </c:pt>
                <c:pt idx="7">
                  <c:v>3416</c:v>
                </c:pt>
                <c:pt idx="8">
                  <c:v>2030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1743-BE70-25938478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527568"/>
        <c:axId val="1961382160"/>
      </c:scatterChart>
      <c:valAx>
        <c:axId val="196152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82160"/>
        <c:crosses val="autoZero"/>
        <c:crossBetween val="midCat"/>
      </c:valAx>
      <c:valAx>
        <c:axId val="19613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2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 SRL (linear)</a:t>
            </a:r>
          </a:p>
        </c:rich>
      </c:tx>
      <c:layout>
        <c:manualLayout>
          <c:xMode val="edge"/>
          <c:yMode val="edge"/>
          <c:x val="0.16094516528863556"/>
          <c:y val="4.3693529076266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zijsron'!$L$1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828521434820648E-2"/>
                  <c:y val="-0.14393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zijsron'!$I$2:$I$12</c:f>
              <c:numCache>
                <c:formatCode>General</c:formatCode>
                <c:ptCount val="11"/>
                <c:pt idx="0">
                  <c:v>356.82</c:v>
                </c:pt>
                <c:pt idx="1">
                  <c:v>210.67999999999998</c:v>
                </c:pt>
                <c:pt idx="2">
                  <c:v>168.459</c:v>
                </c:pt>
                <c:pt idx="3">
                  <c:v>181.35599999999999</c:v>
                </c:pt>
                <c:pt idx="4">
                  <c:v>417.64800000000002</c:v>
                </c:pt>
                <c:pt idx="5">
                  <c:v>237.18</c:v>
                </c:pt>
                <c:pt idx="6">
                  <c:v>948.93</c:v>
                </c:pt>
                <c:pt idx="7">
                  <c:v>765.18399999999997</c:v>
                </c:pt>
                <c:pt idx="8">
                  <c:v>454.71999999999997</c:v>
                </c:pt>
              </c:numCache>
            </c:numRef>
          </c:xVal>
          <c:yVal>
            <c:numRef>
              <c:f>'Faria - P. zijsron'!$L$2:$L$12</c:f>
              <c:numCache>
                <c:formatCode>General</c:formatCode>
                <c:ptCount val="11"/>
                <c:pt idx="0">
                  <c:v>1565</c:v>
                </c:pt>
                <c:pt idx="1">
                  <c:v>920</c:v>
                </c:pt>
                <c:pt idx="2">
                  <c:v>723</c:v>
                </c:pt>
                <c:pt idx="3">
                  <c:v>714</c:v>
                </c:pt>
                <c:pt idx="4">
                  <c:v>1848</c:v>
                </c:pt>
                <c:pt idx="5">
                  <c:v>1005</c:v>
                </c:pt>
                <c:pt idx="6">
                  <c:v>3365</c:v>
                </c:pt>
                <c:pt idx="7">
                  <c:v>3416</c:v>
                </c:pt>
                <c:pt idx="8">
                  <c:v>2030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3-8C42-9815-1EDF9B88D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620480"/>
        <c:axId val="1962346736"/>
      </c:scatterChart>
      <c:valAx>
        <c:axId val="19816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46736"/>
        <c:crosses val="autoZero"/>
        <c:crossBetween val="midCat"/>
      </c:valAx>
      <c:valAx>
        <c:axId val="19623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2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vs SRL (power)</a:t>
            </a:r>
          </a:p>
        </c:rich>
      </c:tx>
      <c:layout>
        <c:manualLayout>
          <c:xMode val="edge"/>
          <c:yMode val="edge"/>
          <c:x val="0.23729513844105135"/>
          <c:y val="3.3886882612636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zijsron'!$L$1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0272965879265092E-2"/>
                  <c:y val="-0.19253608923884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zijsron'!$I$2:$I$10</c:f>
              <c:numCache>
                <c:formatCode>General</c:formatCode>
                <c:ptCount val="9"/>
                <c:pt idx="0">
                  <c:v>356.82</c:v>
                </c:pt>
                <c:pt idx="1">
                  <c:v>210.67999999999998</c:v>
                </c:pt>
                <c:pt idx="2">
                  <c:v>168.459</c:v>
                </c:pt>
                <c:pt idx="3">
                  <c:v>181.35599999999999</c:v>
                </c:pt>
                <c:pt idx="4">
                  <c:v>417.64800000000002</c:v>
                </c:pt>
                <c:pt idx="5">
                  <c:v>237.18</c:v>
                </c:pt>
                <c:pt idx="6">
                  <c:v>948.93</c:v>
                </c:pt>
                <c:pt idx="7">
                  <c:v>765.18399999999997</c:v>
                </c:pt>
                <c:pt idx="8">
                  <c:v>454.71999999999997</c:v>
                </c:pt>
              </c:numCache>
            </c:numRef>
          </c:xVal>
          <c:yVal>
            <c:numRef>
              <c:f>'Faria - P. zijsron'!$L$2:$L$10</c:f>
              <c:numCache>
                <c:formatCode>General</c:formatCode>
                <c:ptCount val="9"/>
                <c:pt idx="0">
                  <c:v>1565</c:v>
                </c:pt>
                <c:pt idx="1">
                  <c:v>920</c:v>
                </c:pt>
                <c:pt idx="2">
                  <c:v>723</c:v>
                </c:pt>
                <c:pt idx="3">
                  <c:v>714</c:v>
                </c:pt>
                <c:pt idx="4">
                  <c:v>1848</c:v>
                </c:pt>
                <c:pt idx="5">
                  <c:v>1005</c:v>
                </c:pt>
                <c:pt idx="6">
                  <c:v>3365</c:v>
                </c:pt>
                <c:pt idx="7">
                  <c:v>3416</c:v>
                </c:pt>
                <c:pt idx="8">
                  <c:v>2030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1-7144-A0D2-F5760095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6656"/>
        <c:axId val="2006465040"/>
      </c:scatterChart>
      <c:valAx>
        <c:axId val="20068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65040"/>
        <c:crosses val="autoZero"/>
        <c:crossBetween val="midCat"/>
      </c:valAx>
      <c:valAx>
        <c:axId val="20064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'Faria - P. zijsron'!$S$1</c:f>
              <c:strCache>
                <c:ptCount val="1"/>
                <c:pt idx="0">
                  <c:v>TRL Morgan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303368328958876E-2"/>
                  <c:y val="-0.241963400408282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'Faria - P. zijsron'!$R$2:$R$10</c:f>
              <c:numCache>
                <c:formatCode>General</c:formatCode>
                <c:ptCount val="9"/>
                <c:pt idx="0">
                  <c:v>156.5</c:v>
                </c:pt>
                <c:pt idx="1">
                  <c:v>92</c:v>
                </c:pt>
                <c:pt idx="2">
                  <c:v>72.3</c:v>
                </c:pt>
                <c:pt idx="3">
                  <c:v>71.400000000000006</c:v>
                </c:pt>
                <c:pt idx="4">
                  <c:v>184.8</c:v>
                </c:pt>
                <c:pt idx="5">
                  <c:v>100.5</c:v>
                </c:pt>
                <c:pt idx="6">
                  <c:v>336.5</c:v>
                </c:pt>
                <c:pt idx="7">
                  <c:v>341.6</c:v>
                </c:pt>
                <c:pt idx="8">
                  <c:v>203</c:v>
                </c:pt>
              </c:numCache>
            </c:numRef>
          </c:xVal>
          <c:yVal>
            <c:numRef>
              <c:f>'Faria - P. zijsron'!$S$2:$S$10</c:f>
              <c:numCache>
                <c:formatCode>General</c:formatCode>
                <c:ptCount val="9"/>
                <c:pt idx="0">
                  <c:v>38.339999999999996</c:v>
                </c:pt>
                <c:pt idx="1">
                  <c:v>22.72</c:v>
                </c:pt>
                <c:pt idx="2">
                  <c:v>18</c:v>
                </c:pt>
                <c:pt idx="3">
                  <c:v>19.419999999999998</c:v>
                </c:pt>
                <c:pt idx="4">
                  <c:v>44.35</c:v>
                </c:pt>
                <c:pt idx="5">
                  <c:v>25.53</c:v>
                </c:pt>
                <c:pt idx="6">
                  <c:v>102.97</c:v>
                </c:pt>
                <c:pt idx="7">
                  <c:v>85.4</c:v>
                </c:pt>
                <c:pt idx="8">
                  <c:v>49.94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7-354B-AA68-2CEDE825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667695"/>
        <c:axId val="1856333728"/>
      </c:scatterChart>
      <c:valAx>
        <c:axId val="67366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33728"/>
        <c:crosses val="autoZero"/>
        <c:crossBetween val="midCat"/>
      </c:valAx>
      <c:valAx>
        <c:axId val="18563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6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212741</xdr:colOff>
      <xdr:row>19</xdr:row>
      <xdr:rowOff>125244</xdr:rowOff>
    </xdr:from>
    <xdr:to>
      <xdr:col>15</xdr:col>
      <xdr:colOff>541867</xdr:colOff>
      <xdr:row>47</xdr:row>
      <xdr:rowOff>118533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867FD-5AF7-0A42-B5BC-91FF58E9B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331627</xdr:colOff>
      <xdr:row>19</xdr:row>
      <xdr:rowOff>58173</xdr:rowOff>
    </xdr:from>
    <xdr:to>
      <xdr:col>27</xdr:col>
      <xdr:colOff>338520</xdr:colOff>
      <xdr:row>46</xdr:row>
      <xdr:rowOff>120431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117F1-4A8A-2E43-8D31-4E6DE80EF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647700</xdr:colOff>
      <xdr:row>18</xdr:row>
      <xdr:rowOff>107950</xdr:rowOff>
    </xdr:from>
    <xdr:to>
      <xdr:col>19</xdr:col>
      <xdr:colOff>673100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BAB52-FAEF-0101-4497-5BEE7E673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203200</xdr:colOff>
      <xdr:row>13</xdr:row>
      <xdr:rowOff>171450</xdr:rowOff>
    </xdr:from>
    <xdr:to>
      <xdr:col>14</xdr:col>
      <xdr:colOff>101600</xdr:colOff>
      <xdr:row>40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B0D637-7835-ED6E-4CFD-1F4A27463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1374502</xdr:colOff>
      <xdr:row>15</xdr:row>
      <xdr:rowOff>158015</xdr:rowOff>
    </xdr:from>
    <xdr:to>
      <xdr:col>8</xdr:col>
      <xdr:colOff>2044440</xdr:colOff>
      <xdr:row>39</xdr:row>
      <xdr:rowOff>3327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0C33B-59D2-C641-B06A-9BC1FBD88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912518</xdr:colOff>
      <xdr:row>40</xdr:row>
      <xdr:rowOff>117593</xdr:rowOff>
    </xdr:from>
    <xdr:to>
      <xdr:col>9</xdr:col>
      <xdr:colOff>258704</xdr:colOff>
      <xdr:row>63</xdr:row>
      <xdr:rowOff>82314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53E90-23D6-25AC-D2D7-93DE13743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574524</xdr:colOff>
      <xdr:row>9</xdr:row>
      <xdr:rowOff>105833</xdr:rowOff>
    </xdr:from>
    <xdr:to>
      <xdr:col>6</xdr:col>
      <xdr:colOff>2143347</xdr:colOff>
      <xdr:row>33</xdr:row>
      <xdr:rowOff>29172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957B6-BEE6-3D49-B7E6-D6784DB1D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609616</xdr:colOff>
      <xdr:row>34</xdr:row>
      <xdr:rowOff>120950</xdr:rowOff>
    </xdr:from>
    <xdr:to>
      <xdr:col>6</xdr:col>
      <xdr:colOff>2207380</xdr:colOff>
      <xdr:row>61</xdr:row>
      <xdr:rowOff>117251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AA1A8-F90D-3F42-A4A4-5DCD5B92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17</xdr:row>
      <xdr:rowOff>120650</xdr:rowOff>
    </xdr:from>
    <xdr:to>
      <xdr:col>6</xdr:col>
      <xdr:colOff>584200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FE186-2E53-9844-8326-2BDE65CED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812439</xdr:colOff>
      <xdr:row>17</xdr:row>
      <xdr:rowOff>141591</xdr:rowOff>
    </xdr:from>
    <xdr:to>
      <xdr:col>12</xdr:col>
      <xdr:colOff>412524</xdr:colOff>
      <xdr:row>34</xdr:row>
      <xdr:rowOff>128621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3529C-74CE-C84B-B926-A4F5E5AA9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154922</xdr:colOff>
      <xdr:row>35</xdr:row>
      <xdr:rowOff>87549</xdr:rowOff>
    </xdr:from>
    <xdr:to>
      <xdr:col>6</xdr:col>
      <xdr:colOff>583659</xdr:colOff>
      <xdr:row>52</xdr:row>
      <xdr:rowOff>74579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5E6640-77BC-5141-93F1-EA5277DF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767404</xdr:colOff>
      <xdr:row>35</xdr:row>
      <xdr:rowOff>123577</xdr:rowOff>
    </xdr:from>
    <xdr:to>
      <xdr:col>12</xdr:col>
      <xdr:colOff>367489</xdr:colOff>
      <xdr:row>52</xdr:row>
      <xdr:rowOff>110607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40E62E-B8BE-F94B-8982-1D6E8FE6D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10</xdr:row>
      <xdr:rowOff>19050</xdr:rowOff>
    </xdr:from>
    <xdr:to>
      <xdr:col>9</xdr:col>
      <xdr:colOff>292100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73ACF-A91A-C5E3-117B-11B108112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15</xdr:col>
      <xdr:colOff>114300</xdr:colOff>
      <xdr:row>32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BFC28E-F3E6-EE46-982F-A3A9069DE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17</xdr:row>
      <xdr:rowOff>57150</xdr:rowOff>
    </xdr:from>
    <xdr:to>
      <xdr:col>11</xdr:col>
      <xdr:colOff>419100</xdr:colOff>
      <xdr:row>33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38233-E5D7-62F0-4AB8-9E7BA6F72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441960</xdr:colOff>
      <xdr:row>33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9DA76-BF3E-7E4C-A1B7-1A5DA02D3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442383</xdr:colOff>
      <xdr:row>14</xdr:row>
      <xdr:rowOff>19050</xdr:rowOff>
    </xdr:from>
    <xdr:to>
      <xdr:col>11</xdr:col>
      <xdr:colOff>57150</xdr:colOff>
      <xdr:row>30</xdr:row>
      <xdr:rowOff>124883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C8FDE4-00AF-164E-A191-4BFA7129F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372059</xdr:colOff>
      <xdr:row>14</xdr:row>
      <xdr:rowOff>4824</xdr:rowOff>
    </xdr:from>
    <xdr:to>
      <xdr:col>18</xdr:col>
      <xdr:colOff>828976</xdr:colOff>
      <xdr:row>30</xdr:row>
      <xdr:rowOff>137074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2B9AC7-3345-7F43-84F8-8079A2055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437268</xdr:colOff>
      <xdr:row>32</xdr:row>
      <xdr:rowOff>106362</xdr:rowOff>
    </xdr:from>
    <xdr:to>
      <xdr:col>11</xdr:col>
      <xdr:colOff>34396</xdr:colOff>
      <xdr:row>49</xdr:row>
      <xdr:rowOff>881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52BA49-02B0-2B4C-9041-739C392D5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340959</xdr:colOff>
      <xdr:row>33</xdr:row>
      <xdr:rowOff>2647</xdr:rowOff>
    </xdr:from>
    <xdr:to>
      <xdr:col>18</xdr:col>
      <xdr:colOff>767820</xdr:colOff>
      <xdr:row>49</xdr:row>
      <xdr:rowOff>64736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51A297-2BFD-FE4D-ADD8-E83CD3C97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382067</xdr:colOff>
      <xdr:row>14</xdr:row>
      <xdr:rowOff>10459</xdr:rowOff>
    </xdr:from>
    <xdr:to>
      <xdr:col>25</xdr:col>
      <xdr:colOff>23478</xdr:colOff>
      <xdr:row>31</xdr:row>
      <xdr:rowOff>32230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4B99D2-AA81-3CC8-07DA-7BD1E8FEE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"/>
  <sheetViews>
    <sheetView topLeftCell="A2" workbookViewId="0">
      <selection activeCell="E9" sqref="E9"/>
    </sheetView>
  </sheetViews>
  <sheetFormatPr baseColWidth="10" defaultColWidth="14.5" defaultRowHeight="15.75" customHeight="1" x14ac:dyDescent="0.15"/>
  <cols>
    <col min="1" max="1" width="17.6640625" customWidth="1"/>
    <col min="4" max="4" width="17" customWidth="1"/>
    <col min="5" max="6" width="24.5" customWidth="1"/>
    <col min="7" max="7" width="49" bestFit="1" customWidth="1"/>
    <col min="8" max="8" width="29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6</v>
      </c>
    </row>
    <row r="2" spans="1:9" ht="15.75" customHeight="1" x14ac:dyDescent="0.15">
      <c r="A2" s="1" t="s">
        <v>112</v>
      </c>
      <c r="B2" s="1" t="s">
        <v>9</v>
      </c>
      <c r="C2" s="1" t="s">
        <v>10</v>
      </c>
      <c r="D2" s="1" t="s">
        <v>11</v>
      </c>
      <c r="E2" s="1" t="s">
        <v>15</v>
      </c>
      <c r="F2" s="1" t="s">
        <v>13</v>
      </c>
      <c r="G2" s="1" t="s">
        <v>12</v>
      </c>
      <c r="H2" s="1" t="s">
        <v>14</v>
      </c>
    </row>
    <row r="3" spans="1:9" ht="15.75" customHeight="1" x14ac:dyDescent="0.15">
      <c r="A3" s="1" t="s">
        <v>16</v>
      </c>
      <c r="B3" s="1" t="s">
        <v>17</v>
      </c>
      <c r="C3" s="1" t="s">
        <v>18</v>
      </c>
      <c r="D3" s="1" t="s">
        <v>11</v>
      </c>
      <c r="E3" s="1" t="s">
        <v>22</v>
      </c>
      <c r="F3" s="1" t="s">
        <v>20</v>
      </c>
      <c r="G3" s="1" t="s">
        <v>19</v>
      </c>
      <c r="H3" s="1" t="s">
        <v>21</v>
      </c>
    </row>
    <row r="4" spans="1:9" ht="15.75" customHeight="1" x14ac:dyDescent="0.15">
      <c r="A4" s="1" t="s">
        <v>23</v>
      </c>
      <c r="B4" s="1" t="s">
        <v>17</v>
      </c>
      <c r="C4" s="1" t="s">
        <v>18</v>
      </c>
      <c r="D4" s="1" t="s">
        <v>24</v>
      </c>
      <c r="E4" s="1" t="s">
        <v>22</v>
      </c>
      <c r="F4" s="1" t="s">
        <v>25</v>
      </c>
      <c r="G4" s="1" t="s">
        <v>22</v>
      </c>
      <c r="H4" s="1" t="s">
        <v>22</v>
      </c>
    </row>
    <row r="5" spans="1:9" ht="15.75" customHeight="1" x14ac:dyDescent="0.15">
      <c r="A5" s="1" t="s">
        <v>26</v>
      </c>
      <c r="B5" s="1" t="s">
        <v>27</v>
      </c>
      <c r="C5" s="1" t="s">
        <v>18</v>
      </c>
      <c r="D5" s="1" t="s">
        <v>11</v>
      </c>
      <c r="E5" s="1" t="s">
        <v>28</v>
      </c>
      <c r="F5" s="1" t="s">
        <v>28</v>
      </c>
      <c r="G5" s="1" t="s">
        <v>28</v>
      </c>
      <c r="H5" s="1" t="s">
        <v>28</v>
      </c>
    </row>
    <row r="6" spans="1:9" ht="15.75" customHeight="1" x14ac:dyDescent="0.15">
      <c r="A6" s="1" t="s">
        <v>29</v>
      </c>
      <c r="B6" s="1" t="s">
        <v>30</v>
      </c>
      <c r="C6" s="1" t="s">
        <v>31</v>
      </c>
      <c r="D6" s="1" t="s">
        <v>32</v>
      </c>
      <c r="E6" s="1" t="s">
        <v>36</v>
      </c>
      <c r="F6" s="1" t="s">
        <v>34</v>
      </c>
      <c r="G6" s="1" t="s">
        <v>33</v>
      </c>
      <c r="H6" s="1" t="s">
        <v>35</v>
      </c>
    </row>
    <row r="7" spans="1:9" ht="15.75" customHeight="1" x14ac:dyDescent="0.15">
      <c r="A7" s="1" t="s">
        <v>37</v>
      </c>
      <c r="B7" s="1" t="s">
        <v>17</v>
      </c>
      <c r="C7" s="1" t="s">
        <v>18</v>
      </c>
      <c r="D7" s="1" t="s">
        <v>24</v>
      </c>
      <c r="E7" s="1" t="s">
        <v>22</v>
      </c>
      <c r="G7" s="1" t="s">
        <v>38</v>
      </c>
      <c r="H7" s="1" t="s">
        <v>22</v>
      </c>
    </row>
    <row r="8" spans="1:9" ht="15.75" customHeight="1" x14ac:dyDescent="0.15">
      <c r="A8" s="1" t="s">
        <v>29</v>
      </c>
      <c r="B8" s="1" t="s">
        <v>30</v>
      </c>
      <c r="C8" s="1" t="s">
        <v>31</v>
      </c>
      <c r="D8" s="1" t="s">
        <v>11</v>
      </c>
      <c r="E8" s="1" t="s">
        <v>104</v>
      </c>
      <c r="F8" s="1" t="s">
        <v>103</v>
      </c>
      <c r="G8" s="1" t="s">
        <v>102</v>
      </c>
      <c r="H8" s="1" t="s">
        <v>101</v>
      </c>
    </row>
    <row r="9" spans="1:9" ht="15.75" customHeight="1" x14ac:dyDescent="0.15">
      <c r="A9" s="1" t="s">
        <v>226</v>
      </c>
      <c r="E9">
        <v>1.54</v>
      </c>
      <c r="F9">
        <v>1.36</v>
      </c>
      <c r="G9">
        <v>1.33</v>
      </c>
      <c r="H9">
        <v>1.33</v>
      </c>
    </row>
    <row r="10" spans="1:9" ht="15.75" customHeight="1" x14ac:dyDescent="0.15">
      <c r="A10" s="1" t="s">
        <v>227</v>
      </c>
      <c r="B10" s="1"/>
      <c r="D10" s="1"/>
      <c r="E10">
        <v>1.24</v>
      </c>
      <c r="F10">
        <v>1.3</v>
      </c>
      <c r="G10" s="1">
        <v>1.28</v>
      </c>
      <c r="H10">
        <v>1.24</v>
      </c>
    </row>
    <row r="11" spans="1:9" ht="15.75" customHeight="1" x14ac:dyDescent="0.15">
      <c r="A11" s="1" t="s">
        <v>228</v>
      </c>
      <c r="E11">
        <v>0.80700000000000005</v>
      </c>
      <c r="F11">
        <v>0.95799999999999996</v>
      </c>
      <c r="G11">
        <v>0.95799999999999996</v>
      </c>
      <c r="H11">
        <v>0.93600000000000005</v>
      </c>
    </row>
    <row r="12" spans="1:9" ht="15.75" customHeight="1" x14ac:dyDescent="0.15">
      <c r="A12" s="1" t="s">
        <v>116</v>
      </c>
      <c r="E12">
        <v>0.215</v>
      </c>
      <c r="F12">
        <v>0.186</v>
      </c>
      <c r="G12">
        <v>0.23200000000000001</v>
      </c>
      <c r="H12">
        <v>0.25</v>
      </c>
    </row>
    <row r="13" spans="1:9" ht="15.75" customHeight="1" x14ac:dyDescent="0.15">
      <c r="A13" s="1" t="s">
        <v>117</v>
      </c>
      <c r="E13">
        <v>0.27</v>
      </c>
      <c r="F13">
        <v>0.19500000000000001</v>
      </c>
      <c r="G13">
        <v>0.246</v>
      </c>
      <c r="H13">
        <v>0.26800000000000002</v>
      </c>
    </row>
    <row r="15" spans="1:9" ht="15.75" customHeight="1" x14ac:dyDescent="0.15">
      <c r="D15" s="4" t="s">
        <v>234</v>
      </c>
      <c r="E15" s="20">
        <f>2.98/0.41</f>
        <v>7.2682926829268295</v>
      </c>
      <c r="F15" s="20">
        <f>8.75/0.2</f>
        <v>43.75</v>
      </c>
      <c r="G15" s="20">
        <f>5.71/0.47</f>
        <v>12.148936170212767</v>
      </c>
      <c r="H15" s="20">
        <f>12.63/0.56</f>
        <v>22.553571428571427</v>
      </c>
      <c r="I15" s="20"/>
    </row>
    <row r="16" spans="1:9" ht="15.75" customHeight="1" x14ac:dyDescent="0.15">
      <c r="D16" s="4" t="s">
        <v>235</v>
      </c>
      <c r="E16" s="20">
        <f>1.41/0.41</f>
        <v>3.4390243902439024</v>
      </c>
      <c r="F16" s="21">
        <f>1.2/0.2</f>
        <v>5.9999999999999991</v>
      </c>
      <c r="G16" s="20">
        <f>1.47/0.47</f>
        <v>3.1276595744680851</v>
      </c>
      <c r="H16" s="20">
        <f>1.56/0.56</f>
        <v>2.7857142857142856</v>
      </c>
      <c r="I16" s="20"/>
    </row>
    <row r="17" spans="4:9" ht="15.75" customHeight="1" x14ac:dyDescent="0.15">
      <c r="D17" s="4" t="s">
        <v>239</v>
      </c>
      <c r="E17" s="19">
        <f>E16*E9</f>
        <v>5.2960975609756096</v>
      </c>
      <c r="F17" s="19">
        <f t="shared" ref="F17:H17" si="0">F16*F9</f>
        <v>8.16</v>
      </c>
      <c r="G17" s="19">
        <f t="shared" si="0"/>
        <v>4.159787234042553</v>
      </c>
      <c r="H17" s="19">
        <f t="shared" si="0"/>
        <v>3.7050000000000001</v>
      </c>
      <c r="I17" s="20"/>
    </row>
    <row r="18" spans="4:9" ht="15.75" customHeight="1" x14ac:dyDescent="0.15">
      <c r="D18" s="4" t="s">
        <v>240</v>
      </c>
      <c r="E18" s="19">
        <f>E16*E10</f>
        <v>4.2643902439024393</v>
      </c>
      <c r="F18" s="19">
        <f t="shared" ref="F18:H18" si="1">F16*F10</f>
        <v>7.7999999999999989</v>
      </c>
      <c r="G18" s="19">
        <f t="shared" si="1"/>
        <v>4.0034042553191487</v>
      </c>
      <c r="H18" s="19">
        <f t="shared" si="1"/>
        <v>3.4542857142857142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2"/>
  <sheetViews>
    <sheetView zoomScale="138" workbookViewId="0">
      <selection activeCell="E3" sqref="E3:F3"/>
    </sheetView>
  </sheetViews>
  <sheetFormatPr baseColWidth="10" defaultColWidth="14.5" defaultRowHeight="15.75" customHeight="1" x14ac:dyDescent="0.15"/>
  <cols>
    <col min="1" max="1" width="15.33203125" customWidth="1"/>
    <col min="2" max="2" width="31.33203125" customWidth="1"/>
    <col min="3" max="3" width="4.83203125" customWidth="1"/>
    <col min="4" max="4" width="6.1640625" bestFit="1" customWidth="1"/>
    <col min="5" max="5" width="4.33203125" customWidth="1"/>
    <col min="6" max="6" width="21" customWidth="1"/>
    <col min="7" max="7" width="45.6640625" customWidth="1"/>
    <col min="8" max="8" width="8.1640625" customWidth="1"/>
    <col min="9" max="9" width="9.83203125" bestFit="1" customWidth="1"/>
    <col min="10" max="11" width="12.83203125" bestFit="1" customWidth="1"/>
    <col min="12" max="12" width="8.5" bestFit="1" customWidth="1"/>
    <col min="13" max="13" width="11.1640625" bestFit="1" customWidth="1"/>
    <col min="14" max="14" width="10.33203125" customWidth="1"/>
    <col min="15" max="15" width="9.33203125" bestFit="1" customWidth="1"/>
    <col min="16" max="16" width="9.33203125" customWidth="1"/>
    <col min="17" max="17" width="44.6640625" customWidth="1"/>
    <col min="18" max="18" width="6.1640625" bestFit="1" customWidth="1"/>
    <col min="19" max="19" width="4.33203125" customWidth="1"/>
    <col min="20" max="20" width="8.1640625" customWidth="1"/>
    <col min="21" max="21" width="9.83203125" bestFit="1" customWidth="1"/>
    <col min="22" max="23" width="12.83203125" bestFit="1" customWidth="1"/>
    <col min="24" max="24" width="8.33203125" bestFit="1" customWidth="1"/>
    <col min="25" max="25" width="13.6640625" bestFit="1" customWidth="1"/>
    <col min="26" max="26" width="15.33203125" bestFit="1" customWidth="1"/>
    <col min="27" max="27" width="9" bestFit="1" customWidth="1"/>
    <col min="28" max="28" width="10.33203125" bestFit="1" customWidth="1"/>
  </cols>
  <sheetData>
    <row r="1" spans="1:28" ht="15.75" customHeight="1" x14ac:dyDescent="0.15">
      <c r="A1" s="1" t="s">
        <v>0</v>
      </c>
      <c r="B1" s="1" t="s">
        <v>58</v>
      </c>
      <c r="C1" s="1" t="s">
        <v>40</v>
      </c>
      <c r="D1" s="1" t="s">
        <v>41</v>
      </c>
      <c r="E1" s="1" t="s">
        <v>42</v>
      </c>
      <c r="F1" s="2" t="s">
        <v>43</v>
      </c>
      <c r="G1" s="2" t="s">
        <v>44</v>
      </c>
      <c r="H1" s="7" t="s">
        <v>18</v>
      </c>
      <c r="I1" s="7" t="s">
        <v>81</v>
      </c>
      <c r="J1" s="7" t="s">
        <v>82</v>
      </c>
      <c r="K1" s="7" t="s">
        <v>83</v>
      </c>
      <c r="L1" s="7" t="s">
        <v>84</v>
      </c>
      <c r="M1" s="2" t="s">
        <v>108</v>
      </c>
      <c r="N1" s="2" t="s">
        <v>171</v>
      </c>
      <c r="O1" s="2" t="s">
        <v>218</v>
      </c>
      <c r="P1" s="2" t="s">
        <v>217</v>
      </c>
      <c r="Q1" s="2" t="s">
        <v>45</v>
      </c>
      <c r="R1" s="1" t="s">
        <v>41</v>
      </c>
      <c r="S1" s="1" t="s">
        <v>42</v>
      </c>
      <c r="T1" s="7" t="s">
        <v>31</v>
      </c>
      <c r="U1" s="7" t="s">
        <v>81</v>
      </c>
      <c r="V1" s="7" t="s">
        <v>82</v>
      </c>
      <c r="W1" s="7" t="s">
        <v>83</v>
      </c>
      <c r="X1" s="7" t="s">
        <v>84</v>
      </c>
      <c r="Y1" s="2" t="s">
        <v>159</v>
      </c>
      <c r="Z1" s="2" t="s">
        <v>171</v>
      </c>
      <c r="AA1" s="2" t="s">
        <v>172</v>
      </c>
      <c r="AB1" s="2" t="s">
        <v>217</v>
      </c>
    </row>
    <row r="2" spans="1:28" ht="15.75" customHeight="1" x14ac:dyDescent="0.15">
      <c r="A2" s="1"/>
      <c r="B2" s="1"/>
      <c r="C2" s="1"/>
      <c r="D2" s="1"/>
      <c r="E2" s="1"/>
      <c r="F2" s="2"/>
      <c r="G2" s="2"/>
      <c r="H2" s="7"/>
      <c r="I2" s="7"/>
      <c r="J2" s="7"/>
      <c r="K2" s="7"/>
      <c r="L2" s="7"/>
      <c r="M2" s="2"/>
      <c r="N2" s="2"/>
      <c r="O2" s="2"/>
      <c r="P2" s="2"/>
      <c r="Q2" s="2"/>
      <c r="R2" s="1"/>
      <c r="S2" s="1"/>
      <c r="T2">
        <v>100</v>
      </c>
      <c r="U2" s="16">
        <f>(5.2961*T2)-72.683</f>
        <v>456.92700000000002</v>
      </c>
      <c r="V2" s="16">
        <f>T2*4.8904-75.012</f>
        <v>414.02799999999996</v>
      </c>
      <c r="W2" s="16">
        <f>2.5626*T2^1.1052</f>
        <v>415.98801828517685</v>
      </c>
      <c r="X2" s="17"/>
      <c r="Y2" s="16">
        <f>T2/0.2</f>
        <v>500</v>
      </c>
      <c r="Z2" s="18">
        <f>4.0167*T2 + 167.41</f>
        <v>569.08000000000004</v>
      </c>
      <c r="AA2" s="16">
        <f>8.3644*(T2^0.8953)</f>
        <v>516.45774344751214</v>
      </c>
      <c r="AB2" s="16">
        <f>-0.002*T2^2+5.64*T2-84.5</f>
        <v>459.5</v>
      </c>
    </row>
    <row r="3" spans="1:28" ht="15.75" customHeight="1" x14ac:dyDescent="0.15">
      <c r="A3" s="1" t="s">
        <v>8</v>
      </c>
      <c r="B3" s="1" t="s">
        <v>15</v>
      </c>
      <c r="C3" s="1" t="s">
        <v>46</v>
      </c>
      <c r="D3" s="1">
        <v>0.99</v>
      </c>
      <c r="E3" s="1">
        <v>10</v>
      </c>
      <c r="F3" s="3" t="s">
        <v>67</v>
      </c>
      <c r="G3" s="3" t="s">
        <v>241</v>
      </c>
      <c r="H3">
        <v>150</v>
      </c>
      <c r="I3" s="14">
        <f>H3*4.2644-72.683</f>
        <v>566.97700000000009</v>
      </c>
      <c r="J3" s="14">
        <f>3.8815*H3-63.935</f>
        <v>518.29</v>
      </c>
      <c r="K3" s="14">
        <f>2.3514*H3^1.0772</f>
        <v>519.29246158522778</v>
      </c>
      <c r="L3" s="14"/>
      <c r="M3" s="14">
        <f>H3/0.26</f>
        <v>576.92307692307691</v>
      </c>
      <c r="N3" s="15">
        <f>3.4782*H3 + 77.845</f>
        <v>599.57500000000005</v>
      </c>
      <c r="O3" s="13">
        <f>4.5772*H3^0.9635</f>
        <v>571.82589365437866</v>
      </c>
      <c r="P3" s="13">
        <f>-0.0029*H3^2+6.2586*H3-453.93</f>
        <v>419.61000000000007</v>
      </c>
      <c r="Q3" s="3" t="s">
        <v>233</v>
      </c>
      <c r="R3" s="1">
        <v>0.99</v>
      </c>
      <c r="S3" s="1">
        <v>10</v>
      </c>
      <c r="T3">
        <v>150</v>
      </c>
      <c r="U3" s="16">
        <f t="shared" ref="U3:U17" si="0">(5.2961*T3)-72.683</f>
        <v>721.73199999999997</v>
      </c>
      <c r="V3" s="16">
        <f>T3*4.8904-75.012</f>
        <v>658.548</v>
      </c>
      <c r="W3" s="16">
        <f>2.5626*T3^1.1052</f>
        <v>651.17374443196138</v>
      </c>
      <c r="X3" s="17"/>
      <c r="Y3" s="16">
        <f>T3/0.2</f>
        <v>750</v>
      </c>
      <c r="Z3" s="18">
        <f t="shared" ref="Z3:Z17" si="1">4.0167*T3 + 167.41</f>
        <v>769.91499999999996</v>
      </c>
      <c r="AA3" s="16">
        <f t="shared" ref="AA3:AA17" si="2">8.3644*(T3^0.8953)</f>
        <v>742.48775817525609</v>
      </c>
      <c r="AB3" s="16">
        <f t="shared" ref="AB3:AB17" si="3">-0.002*T3^2+5.64*T3-84.5</f>
        <v>716.5</v>
      </c>
    </row>
    <row r="4" spans="1:28" ht="15.75" customHeight="1" x14ac:dyDescent="0.15">
      <c r="A4" s="1" t="s">
        <v>29</v>
      </c>
      <c r="B4" s="1" t="s">
        <v>36</v>
      </c>
      <c r="C4" s="5" t="s">
        <v>49</v>
      </c>
      <c r="D4" s="1">
        <v>0.81</v>
      </c>
      <c r="E4" s="1">
        <v>479</v>
      </c>
      <c r="F4" s="3" t="s">
        <v>68</v>
      </c>
      <c r="G4" s="3" t="s">
        <v>69</v>
      </c>
      <c r="H4">
        <v>200</v>
      </c>
      <c r="I4" s="14">
        <f t="shared" ref="I4:I18" si="4">H4*4.2644-72.683</f>
        <v>780.197</v>
      </c>
      <c r="J4" s="14">
        <f>3.8815*H4-63.935</f>
        <v>712.36500000000001</v>
      </c>
      <c r="K4" s="14">
        <f>2.3514*H4^1.0772</f>
        <v>707.93930505611229</v>
      </c>
      <c r="L4" s="14"/>
      <c r="M4" s="14">
        <f t="shared" ref="M4:M18" si="5">H4/0.26</f>
        <v>769.23076923076917</v>
      </c>
      <c r="N4" s="15">
        <f t="shared" ref="N4:N18" si="6">3.4782*H4 + 77.845</f>
        <v>773.48500000000001</v>
      </c>
      <c r="O4" s="13">
        <f t="shared" ref="O4:O18" si="7">4.5772*H4^0.9635</f>
        <v>754.47054634547612</v>
      </c>
      <c r="P4" s="13">
        <f t="shared" ref="P4:P18" si="8">-0.0029*H4^2+6.2586*H4-453.93</f>
        <v>681.79</v>
      </c>
      <c r="Q4" s="3" t="s">
        <v>70</v>
      </c>
      <c r="R4" s="1">
        <v>0.81</v>
      </c>
      <c r="S4" s="1">
        <v>479</v>
      </c>
      <c r="T4">
        <v>200</v>
      </c>
      <c r="U4" s="16">
        <f t="shared" si="0"/>
        <v>986.53700000000003</v>
      </c>
      <c r="V4" s="16">
        <f>T4*4.8904-75.012</f>
        <v>903.06799999999998</v>
      </c>
      <c r="W4" s="16">
        <f>2.5626*T4^1.1052</f>
        <v>894.90961254249169</v>
      </c>
      <c r="X4" s="17">
        <f t="shared" ref="X4:X17" si="9">(0.1795+SQRT(0.00036*T4-0.071208))/0.00018</f>
        <v>1153.5694142163379</v>
      </c>
      <c r="Y4" s="16">
        <f>T4/0.2</f>
        <v>1000</v>
      </c>
      <c r="Z4" s="18">
        <f t="shared" si="1"/>
        <v>970.75</v>
      </c>
      <c r="AA4" s="16">
        <f t="shared" si="2"/>
        <v>960.60965741205803</v>
      </c>
      <c r="AB4" s="16">
        <f t="shared" si="3"/>
        <v>963.5</v>
      </c>
    </row>
    <row r="5" spans="1:28" ht="15.75" customHeight="1" x14ac:dyDescent="0.15">
      <c r="A5" s="5" t="s">
        <v>85</v>
      </c>
      <c r="B5" s="5" t="s">
        <v>11</v>
      </c>
      <c r="C5" s="5" t="s">
        <v>49</v>
      </c>
      <c r="D5">
        <v>0.99299999999999999</v>
      </c>
      <c r="E5" s="1">
        <v>10</v>
      </c>
      <c r="F5" s="6" t="s">
        <v>93</v>
      </c>
      <c r="G5" s="6" t="s">
        <v>96</v>
      </c>
      <c r="H5">
        <v>250</v>
      </c>
      <c r="I5" s="14">
        <f t="shared" si="4"/>
        <v>993.41700000000014</v>
      </c>
      <c r="J5" s="14">
        <f>3.8815*H5-63.935</f>
        <v>906.44</v>
      </c>
      <c r="K5" s="14">
        <f>2.3514*H5^1.0772</f>
        <v>900.30049971911114</v>
      </c>
      <c r="L5" s="14"/>
      <c r="M5" s="14">
        <f t="shared" si="5"/>
        <v>961.53846153846155</v>
      </c>
      <c r="N5" s="15">
        <f t="shared" si="6"/>
        <v>947.3950000000001</v>
      </c>
      <c r="O5" s="13">
        <f t="shared" si="7"/>
        <v>935.43817120689039</v>
      </c>
      <c r="P5" s="13">
        <f t="shared" si="8"/>
        <v>929.47</v>
      </c>
      <c r="Q5" s="6" t="s">
        <v>94</v>
      </c>
      <c r="R5">
        <v>0.99199999999999999</v>
      </c>
      <c r="S5" s="1">
        <v>10</v>
      </c>
      <c r="T5">
        <v>250</v>
      </c>
      <c r="U5" s="16">
        <f t="shared" si="0"/>
        <v>1251.3420000000001</v>
      </c>
      <c r="V5" s="16">
        <f t="shared" ref="V5:V17" si="10">T5*4.8904-75.012</f>
        <v>1147.588</v>
      </c>
      <c r="W5" s="16">
        <f t="shared" ref="W5:W17" si="11">2.5626*T5^1.1052</f>
        <v>1145.2073307816111</v>
      </c>
      <c r="X5" s="17">
        <f t="shared" si="9"/>
        <v>1758.7995328086133</v>
      </c>
      <c r="Y5" s="16">
        <f t="shared" ref="Y5:Y17" si="12">T5/0.2</f>
        <v>1250</v>
      </c>
      <c r="Z5" s="18">
        <f t="shared" si="1"/>
        <v>1171.585</v>
      </c>
      <c r="AA5" s="16">
        <f t="shared" si="2"/>
        <v>1173.0336838109872</v>
      </c>
      <c r="AB5" s="16">
        <f t="shared" si="3"/>
        <v>1200.5</v>
      </c>
    </row>
    <row r="6" spans="1:28" ht="15.75" customHeight="1" x14ac:dyDescent="0.15">
      <c r="A6" s="5" t="s">
        <v>85</v>
      </c>
      <c r="B6" s="5" t="s">
        <v>24</v>
      </c>
      <c r="C6" s="5" t="s">
        <v>49</v>
      </c>
      <c r="D6" s="5">
        <v>0.98399999999999999</v>
      </c>
      <c r="E6" s="1">
        <v>10</v>
      </c>
      <c r="F6" s="6" t="s">
        <v>93</v>
      </c>
      <c r="G6" s="6" t="s">
        <v>97</v>
      </c>
      <c r="H6">
        <v>300</v>
      </c>
      <c r="I6" s="14">
        <f t="shared" si="4"/>
        <v>1206.6370000000002</v>
      </c>
      <c r="J6" s="14">
        <f>3.8815*H6-63.935</f>
        <v>1100.5150000000001</v>
      </c>
      <c r="K6" s="14">
        <f>2.3514*H6^1.0772</f>
        <v>1095.6744373321083</v>
      </c>
      <c r="L6" s="14">
        <f t="shared" ref="L6:L18" si="13">(0.1795+SQRT(0.000263*H6-0.071208))/0.00018</f>
        <v>1484.4669322062377</v>
      </c>
      <c r="M6" s="14">
        <f t="shared" si="5"/>
        <v>1153.8461538461538</v>
      </c>
      <c r="N6" s="15">
        <f t="shared" si="6"/>
        <v>1121.3050000000001</v>
      </c>
      <c r="O6" s="13">
        <f t="shared" si="7"/>
        <v>1115.0804924120296</v>
      </c>
      <c r="P6" s="13">
        <f t="shared" si="8"/>
        <v>1162.6500000000001</v>
      </c>
      <c r="Q6" s="6" t="s">
        <v>95</v>
      </c>
      <c r="R6" s="5">
        <v>0.98199999999999998</v>
      </c>
      <c r="S6" s="1">
        <v>10</v>
      </c>
      <c r="T6">
        <v>300</v>
      </c>
      <c r="U6" s="16">
        <f t="shared" si="0"/>
        <v>1516.1469999999999</v>
      </c>
      <c r="V6" s="16">
        <f t="shared" si="10"/>
        <v>1392.1079999999999</v>
      </c>
      <c r="W6" s="16">
        <f t="shared" si="11"/>
        <v>1400.861605893557</v>
      </c>
      <c r="X6" s="17">
        <f t="shared" si="9"/>
        <v>2062.8467130986078</v>
      </c>
      <c r="Y6" s="16">
        <f t="shared" si="12"/>
        <v>1500</v>
      </c>
      <c r="Z6" s="18">
        <f t="shared" si="1"/>
        <v>1372.42</v>
      </c>
      <c r="AA6" s="16">
        <f t="shared" si="2"/>
        <v>1381.0247209234985</v>
      </c>
      <c r="AB6" s="16">
        <f t="shared" si="3"/>
        <v>1427.5</v>
      </c>
    </row>
    <row r="7" spans="1:28" ht="15.75" customHeight="1" x14ac:dyDescent="0.15">
      <c r="A7" s="1" t="s">
        <v>29</v>
      </c>
      <c r="B7" s="1" t="s">
        <v>182</v>
      </c>
      <c r="C7" s="5" t="s">
        <v>49</v>
      </c>
      <c r="D7" s="1"/>
      <c r="E7" s="1">
        <v>479</v>
      </c>
      <c r="F7" s="3" t="s">
        <v>68</v>
      </c>
      <c r="G7" s="3" t="s">
        <v>221</v>
      </c>
      <c r="H7">
        <v>350</v>
      </c>
      <c r="I7" s="14">
        <f t="shared" si="4"/>
        <v>1419.857</v>
      </c>
      <c r="J7" s="14">
        <f t="shared" ref="J7:J18" si="14">3.8815*H7-63.935</f>
        <v>1294.5900000000001</v>
      </c>
      <c r="K7" s="14">
        <f t="shared" ref="K7:K18" si="15">2.3514*H7^1.0772</f>
        <v>1293.5898856375172</v>
      </c>
      <c r="L7" s="14">
        <f t="shared" si="13"/>
        <v>1799.2643688319074</v>
      </c>
      <c r="M7" s="14">
        <f t="shared" si="5"/>
        <v>1346.1538461538462</v>
      </c>
      <c r="N7" s="15">
        <f t="shared" si="6"/>
        <v>1295.2150000000001</v>
      </c>
      <c r="O7" s="13">
        <f t="shared" si="7"/>
        <v>1293.6281277534604</v>
      </c>
      <c r="P7" s="13">
        <f t="shared" si="8"/>
        <v>1381.3300000000002</v>
      </c>
      <c r="Q7" s="3" t="s">
        <v>158</v>
      </c>
      <c r="R7" s="4" t="s">
        <v>22</v>
      </c>
      <c r="S7" s="1">
        <v>479</v>
      </c>
      <c r="T7">
        <v>350</v>
      </c>
      <c r="U7" s="16">
        <f t="shared" si="0"/>
        <v>1780.952</v>
      </c>
      <c r="V7" s="16">
        <f t="shared" si="10"/>
        <v>1636.6279999999999</v>
      </c>
      <c r="W7" s="16">
        <f t="shared" si="11"/>
        <v>1661.0581041502442</v>
      </c>
      <c r="X7" s="17">
        <f t="shared" si="9"/>
        <v>2297.6495024309661</v>
      </c>
      <c r="Y7" s="16">
        <f t="shared" si="12"/>
        <v>1750</v>
      </c>
      <c r="Z7" s="18">
        <f t="shared" si="1"/>
        <v>1573.2550000000001</v>
      </c>
      <c r="AA7" s="16">
        <f t="shared" si="2"/>
        <v>1585.4002175747505</v>
      </c>
      <c r="AB7" s="16">
        <f t="shared" si="3"/>
        <v>1644.5</v>
      </c>
    </row>
    <row r="8" spans="1:28" ht="15.75" customHeight="1" x14ac:dyDescent="0.15">
      <c r="A8" s="1" t="s">
        <v>173</v>
      </c>
      <c r="B8" s="5" t="s">
        <v>11</v>
      </c>
      <c r="C8" s="1" t="s">
        <v>49</v>
      </c>
      <c r="D8" s="1">
        <v>0.92879999999999996</v>
      </c>
      <c r="E8" s="1">
        <v>26</v>
      </c>
      <c r="F8" s="3" t="s">
        <v>256</v>
      </c>
      <c r="G8" s="3" t="s">
        <v>244</v>
      </c>
      <c r="H8">
        <v>400</v>
      </c>
      <c r="I8" s="14">
        <f t="shared" si="4"/>
        <v>1633.077</v>
      </c>
      <c r="J8" s="14">
        <f t="shared" si="14"/>
        <v>1488.665</v>
      </c>
      <c r="K8" s="14">
        <f t="shared" si="15"/>
        <v>1493.7074136696958</v>
      </c>
      <c r="L8" s="14">
        <f t="shared" si="13"/>
        <v>2021.4955267992457</v>
      </c>
      <c r="M8" s="14">
        <f t="shared" si="5"/>
        <v>1538.4615384615383</v>
      </c>
      <c r="N8" s="15">
        <f t="shared" si="6"/>
        <v>1469.125</v>
      </c>
      <c r="O8" s="13">
        <f t="shared" si="7"/>
        <v>1471.243953212409</v>
      </c>
      <c r="P8" s="13">
        <f t="shared" si="8"/>
        <v>1585.51</v>
      </c>
      <c r="Q8" s="10" t="s">
        <v>248</v>
      </c>
      <c r="R8" s="1">
        <v>0.93400000000000005</v>
      </c>
      <c r="S8" s="1">
        <v>26</v>
      </c>
      <c r="T8">
        <v>400</v>
      </c>
      <c r="U8" s="16">
        <f t="shared" si="0"/>
        <v>2045.7570000000001</v>
      </c>
      <c r="V8" s="16">
        <f t="shared" si="10"/>
        <v>1881.1479999999999</v>
      </c>
      <c r="W8" s="16">
        <f t="shared" si="11"/>
        <v>1925.2074084305225</v>
      </c>
      <c r="X8" s="17">
        <f t="shared" si="9"/>
        <v>2496.1106992833634</v>
      </c>
      <c r="Y8" s="16">
        <f t="shared" si="12"/>
        <v>2000</v>
      </c>
      <c r="Z8" s="18">
        <f t="shared" si="1"/>
        <v>1774.0900000000001</v>
      </c>
      <c r="AA8" s="16">
        <f t="shared" si="2"/>
        <v>1786.7307163477428</v>
      </c>
      <c r="AB8" s="16">
        <f t="shared" si="3"/>
        <v>1851.5</v>
      </c>
    </row>
    <row r="9" spans="1:28" ht="15.75" customHeight="1" x14ac:dyDescent="0.15">
      <c r="A9" s="1" t="s">
        <v>174</v>
      </c>
      <c r="B9" s="5" t="s">
        <v>24</v>
      </c>
      <c r="C9" s="1" t="s">
        <v>49</v>
      </c>
      <c r="D9" s="1">
        <v>0.92800000000000005</v>
      </c>
      <c r="E9" s="1">
        <v>26</v>
      </c>
      <c r="F9" s="3" t="s">
        <v>256</v>
      </c>
      <c r="G9" s="3" t="s">
        <v>245</v>
      </c>
      <c r="H9">
        <v>450</v>
      </c>
      <c r="I9" s="14">
        <f t="shared" si="4"/>
        <v>1846.297</v>
      </c>
      <c r="J9" s="14">
        <f t="shared" si="14"/>
        <v>1682.74</v>
      </c>
      <c r="K9" s="14">
        <f t="shared" si="15"/>
        <v>1695.7703351813166</v>
      </c>
      <c r="L9" s="14">
        <f t="shared" si="13"/>
        <v>2203.4560304037041</v>
      </c>
      <c r="M9" s="14">
        <f t="shared" si="5"/>
        <v>1730.7692307692307</v>
      </c>
      <c r="N9" s="15">
        <f t="shared" si="6"/>
        <v>1643.0350000000001</v>
      </c>
      <c r="O9" s="13">
        <f t="shared" si="7"/>
        <v>1648.0490995714649</v>
      </c>
      <c r="P9" s="13">
        <f t="shared" si="8"/>
        <v>1775.1900000000003</v>
      </c>
      <c r="Q9" s="10" t="s">
        <v>249</v>
      </c>
      <c r="R9">
        <v>0.93400000000000005</v>
      </c>
      <c r="S9" s="1">
        <v>26</v>
      </c>
      <c r="T9">
        <v>450</v>
      </c>
      <c r="U9" s="16">
        <f t="shared" si="0"/>
        <v>2310.5619999999999</v>
      </c>
      <c r="V9" s="16">
        <f t="shared" si="10"/>
        <v>2125.6679999999997</v>
      </c>
      <c r="W9" s="16">
        <f t="shared" si="11"/>
        <v>2192.8619509308205</v>
      </c>
      <c r="X9" s="17">
        <f t="shared" si="9"/>
        <v>2671.2061594875181</v>
      </c>
      <c r="Y9" s="16">
        <f t="shared" si="12"/>
        <v>2250</v>
      </c>
      <c r="Z9" s="18">
        <f t="shared" si="1"/>
        <v>1974.9250000000002</v>
      </c>
      <c r="AA9" s="16">
        <f t="shared" si="2"/>
        <v>1985.4362956749997</v>
      </c>
      <c r="AB9" s="16">
        <f t="shared" si="3"/>
        <v>2048.5</v>
      </c>
    </row>
    <row r="10" spans="1:28" ht="15.75" customHeight="1" x14ac:dyDescent="0.15">
      <c r="A10" s="1" t="s">
        <v>219</v>
      </c>
      <c r="B10" s="1" t="s">
        <v>220</v>
      </c>
      <c r="C10" s="1" t="s">
        <v>49</v>
      </c>
      <c r="D10" s="1">
        <v>0.93840000000000001</v>
      </c>
      <c r="E10" s="1">
        <v>26</v>
      </c>
      <c r="F10" s="3" t="s">
        <v>256</v>
      </c>
      <c r="G10" s="3" t="s">
        <v>246</v>
      </c>
      <c r="H10">
        <v>500</v>
      </c>
      <c r="I10" s="14">
        <f t="shared" si="4"/>
        <v>2059.5170000000003</v>
      </c>
      <c r="J10" s="14">
        <f t="shared" si="14"/>
        <v>1876.8150000000001</v>
      </c>
      <c r="K10" s="14">
        <f t="shared" si="15"/>
        <v>1899.5774374391863</v>
      </c>
      <c r="L10" s="14">
        <f t="shared" si="13"/>
        <v>2361.3571853145345</v>
      </c>
      <c r="M10" s="14">
        <f t="shared" si="5"/>
        <v>1923.0769230769231</v>
      </c>
      <c r="N10" s="15">
        <f t="shared" si="6"/>
        <v>1816.9450000000002</v>
      </c>
      <c r="O10" s="13">
        <f t="shared" si="7"/>
        <v>1824.137151090343</v>
      </c>
      <c r="P10" s="13">
        <f t="shared" si="8"/>
        <v>1950.3700000000001</v>
      </c>
      <c r="Q10" s="10" t="s">
        <v>247</v>
      </c>
      <c r="R10" s="1">
        <v>0.94469999999999998</v>
      </c>
      <c r="S10" s="1">
        <v>26</v>
      </c>
      <c r="T10">
        <v>500</v>
      </c>
      <c r="U10" s="16">
        <f t="shared" si="0"/>
        <v>2575.3670000000002</v>
      </c>
      <c r="V10" s="16">
        <f t="shared" si="10"/>
        <v>2370.1879999999996</v>
      </c>
      <c r="W10" s="16">
        <f t="shared" si="11"/>
        <v>2463.6696337922212</v>
      </c>
      <c r="X10" s="17">
        <f t="shared" si="9"/>
        <v>2829.6462391401892</v>
      </c>
      <c r="Y10" s="16">
        <f t="shared" si="12"/>
        <v>2500</v>
      </c>
      <c r="Z10" s="18">
        <f t="shared" si="1"/>
        <v>2175.7600000000002</v>
      </c>
      <c r="AA10" s="16">
        <f t="shared" si="2"/>
        <v>2181.8386875498513</v>
      </c>
      <c r="AB10" s="16">
        <f t="shared" si="3"/>
        <v>2235.5</v>
      </c>
    </row>
    <row r="11" spans="1:28" ht="15.75" customHeight="1" x14ac:dyDescent="0.15">
      <c r="F11" s="3"/>
      <c r="G11" s="3"/>
      <c r="H11">
        <v>550</v>
      </c>
      <c r="I11" s="14">
        <f t="shared" si="4"/>
        <v>2272.7370000000001</v>
      </c>
      <c r="J11" s="14">
        <f t="shared" si="14"/>
        <v>2070.89</v>
      </c>
      <c r="K11" s="14">
        <f t="shared" si="15"/>
        <v>2104.9665700039718</v>
      </c>
      <c r="L11" s="14">
        <f t="shared" si="13"/>
        <v>2502.7880278453868</v>
      </c>
      <c r="M11" s="14">
        <f t="shared" si="5"/>
        <v>2115.3846153846152</v>
      </c>
      <c r="N11" s="15">
        <f t="shared" si="6"/>
        <v>1990.855</v>
      </c>
      <c r="O11" s="13">
        <f t="shared" si="7"/>
        <v>1999.5825615509546</v>
      </c>
      <c r="P11" s="13">
        <f t="shared" si="8"/>
        <v>2111.0500000000002</v>
      </c>
      <c r="Q11" s="9"/>
      <c r="T11">
        <v>550</v>
      </c>
      <c r="U11" s="16">
        <f t="shared" si="0"/>
        <v>2840.172</v>
      </c>
      <c r="V11" s="16">
        <f t="shared" si="10"/>
        <v>2614.7079999999996</v>
      </c>
      <c r="W11" s="16">
        <f t="shared" si="11"/>
        <v>2737.3458148314203</v>
      </c>
      <c r="X11" s="17">
        <f t="shared" si="9"/>
        <v>2975.4369055499274</v>
      </c>
      <c r="Y11" s="16">
        <f t="shared" si="12"/>
        <v>2750</v>
      </c>
      <c r="Z11" s="18">
        <f t="shared" si="1"/>
        <v>2376.5949999999998</v>
      </c>
      <c r="AA11" s="16">
        <f t="shared" si="2"/>
        <v>2376.1918898116087</v>
      </c>
      <c r="AB11" s="16">
        <f t="shared" si="3"/>
        <v>2412.5</v>
      </c>
    </row>
    <row r="12" spans="1:28" ht="15.75" customHeight="1" x14ac:dyDescent="0.15">
      <c r="F12" s="3"/>
      <c r="G12" s="3"/>
      <c r="H12">
        <v>600</v>
      </c>
      <c r="I12" s="14">
        <f t="shared" si="4"/>
        <v>2485.9570000000003</v>
      </c>
      <c r="J12" s="14">
        <f t="shared" si="14"/>
        <v>2264.9650000000001</v>
      </c>
      <c r="K12" s="14">
        <f t="shared" si="15"/>
        <v>2311.8041593715748</v>
      </c>
      <c r="L12" s="14">
        <f t="shared" si="13"/>
        <v>2632.0288140221796</v>
      </c>
      <c r="M12" s="14">
        <f t="shared" si="5"/>
        <v>2307.6923076923076</v>
      </c>
      <c r="N12" s="15">
        <f t="shared" si="6"/>
        <v>2164.7649999999999</v>
      </c>
      <c r="O12" s="13">
        <f t="shared" si="7"/>
        <v>2174.4459604856374</v>
      </c>
      <c r="P12" s="13">
        <f t="shared" si="8"/>
        <v>2257.2300000000005</v>
      </c>
      <c r="Q12" s="3"/>
      <c r="T12">
        <v>600</v>
      </c>
      <c r="U12" s="16">
        <f t="shared" si="0"/>
        <v>3104.9769999999999</v>
      </c>
      <c r="V12" s="16">
        <f t="shared" si="10"/>
        <v>2859.2279999999996</v>
      </c>
      <c r="W12" s="16">
        <f t="shared" si="11"/>
        <v>3013.6553502760553</v>
      </c>
      <c r="X12" s="17">
        <f t="shared" si="9"/>
        <v>3111.1968883166128</v>
      </c>
      <c r="Y12" s="16">
        <f t="shared" si="12"/>
        <v>3000</v>
      </c>
      <c r="Z12" s="18">
        <f t="shared" si="1"/>
        <v>2577.4299999999998</v>
      </c>
      <c r="AA12" s="16">
        <f t="shared" si="2"/>
        <v>2568.7013136607793</v>
      </c>
      <c r="AB12" s="16">
        <f t="shared" si="3"/>
        <v>2579.5</v>
      </c>
    </row>
    <row r="13" spans="1:28" ht="15.75" customHeight="1" x14ac:dyDescent="0.15">
      <c r="F13" s="3"/>
      <c r="G13" s="3"/>
      <c r="H13">
        <v>650</v>
      </c>
      <c r="I13" s="14">
        <f t="shared" si="4"/>
        <v>2699.1770000000001</v>
      </c>
      <c r="J13" s="14">
        <f t="shared" si="14"/>
        <v>2459.04</v>
      </c>
      <c r="K13" s="14">
        <f t="shared" si="15"/>
        <v>2519.9781876064194</v>
      </c>
      <c r="L13" s="14">
        <f t="shared" si="13"/>
        <v>2751.7753818966321</v>
      </c>
      <c r="M13" s="14">
        <f t="shared" si="5"/>
        <v>2500</v>
      </c>
      <c r="N13" s="15">
        <f t="shared" si="6"/>
        <v>2338.6749999999997</v>
      </c>
      <c r="O13" s="13">
        <f t="shared" si="7"/>
        <v>2348.7776646281495</v>
      </c>
      <c r="P13" s="13">
        <f t="shared" si="8"/>
        <v>2388.9100000000003</v>
      </c>
      <c r="Q13" s="3"/>
      <c r="T13">
        <v>650</v>
      </c>
      <c r="U13" s="16">
        <f t="shared" si="0"/>
        <v>3369.7820000000002</v>
      </c>
      <c r="V13" s="16">
        <f t="shared" si="10"/>
        <v>3103.7479999999996</v>
      </c>
      <c r="W13" s="16">
        <f t="shared" si="11"/>
        <v>3292.4005348850833</v>
      </c>
      <c r="X13" s="17">
        <f t="shared" si="9"/>
        <v>3238.7494793494789</v>
      </c>
      <c r="Y13" s="16">
        <f t="shared" si="12"/>
        <v>3250</v>
      </c>
      <c r="Z13" s="18">
        <f t="shared" si="1"/>
        <v>2778.2649999999999</v>
      </c>
      <c r="AA13" s="16">
        <f t="shared" si="2"/>
        <v>2759.5363650577806</v>
      </c>
      <c r="AB13" s="16">
        <f t="shared" si="3"/>
        <v>2736.5</v>
      </c>
    </row>
    <row r="14" spans="1:28" ht="15.75" customHeight="1" x14ac:dyDescent="0.15">
      <c r="F14" s="3"/>
      <c r="G14" s="3"/>
      <c r="H14">
        <v>700</v>
      </c>
      <c r="I14" s="14">
        <f t="shared" si="4"/>
        <v>2912.3969999999999</v>
      </c>
      <c r="J14" s="14">
        <f t="shared" si="14"/>
        <v>2653.1150000000002</v>
      </c>
      <c r="K14" s="14">
        <f t="shared" si="15"/>
        <v>2729.3933090376172</v>
      </c>
      <c r="L14" s="14">
        <f t="shared" si="13"/>
        <v>2863.8558198129012</v>
      </c>
      <c r="M14" s="14">
        <f t="shared" si="5"/>
        <v>2692.3076923076924</v>
      </c>
      <c r="N14" s="15">
        <f t="shared" si="6"/>
        <v>2512.585</v>
      </c>
      <c r="O14" s="13">
        <f t="shared" si="7"/>
        <v>2522.6200941597281</v>
      </c>
      <c r="P14" s="13">
        <f t="shared" si="8"/>
        <v>2506.0900000000006</v>
      </c>
      <c r="Q14" s="3"/>
      <c r="T14">
        <v>700</v>
      </c>
      <c r="U14" s="16">
        <f t="shared" si="0"/>
        <v>3634.587</v>
      </c>
      <c r="V14" s="16">
        <f t="shared" si="10"/>
        <v>3348.2679999999996</v>
      </c>
      <c r="W14" s="16">
        <f t="shared" si="11"/>
        <v>3573.4126923256931</v>
      </c>
      <c r="X14" s="17">
        <f t="shared" si="9"/>
        <v>3359.4245844257653</v>
      </c>
      <c r="Y14" s="16">
        <f t="shared" si="12"/>
        <v>3500</v>
      </c>
      <c r="Z14" s="18">
        <f t="shared" si="1"/>
        <v>2979.1</v>
      </c>
      <c r="AA14" s="16">
        <f t="shared" si="2"/>
        <v>2948.8390467327026</v>
      </c>
      <c r="AB14" s="16">
        <f t="shared" si="3"/>
        <v>2883.5</v>
      </c>
    </row>
    <row r="15" spans="1:28" ht="15.75" customHeight="1" x14ac:dyDescent="0.15">
      <c r="F15" s="3"/>
      <c r="G15" s="3"/>
      <c r="H15">
        <v>750</v>
      </c>
      <c r="I15" s="14">
        <f t="shared" si="4"/>
        <v>3125.6170000000002</v>
      </c>
      <c r="J15" s="14">
        <f t="shared" si="14"/>
        <v>2847.19</v>
      </c>
      <c r="K15" s="14">
        <f t="shared" si="15"/>
        <v>2939.9673461695702</v>
      </c>
      <c r="L15" s="14">
        <f t="shared" si="13"/>
        <v>2969.5774603031273</v>
      </c>
      <c r="M15" s="14">
        <f t="shared" si="5"/>
        <v>2884.6153846153843</v>
      </c>
      <c r="N15" s="15">
        <f t="shared" si="6"/>
        <v>2686.4949999999999</v>
      </c>
      <c r="O15" s="13">
        <f t="shared" si="7"/>
        <v>2696.0094897243202</v>
      </c>
      <c r="P15" s="13">
        <f t="shared" si="8"/>
        <v>2608.7700000000009</v>
      </c>
      <c r="Q15" s="3"/>
      <c r="T15">
        <v>750</v>
      </c>
      <c r="U15" s="16">
        <f t="shared" si="0"/>
        <v>3899.3919999999998</v>
      </c>
      <c r="V15" s="16">
        <f t="shared" si="10"/>
        <v>3592.7879999999996</v>
      </c>
      <c r="W15" s="16">
        <f t="shared" si="11"/>
        <v>3856.5461262396384</v>
      </c>
      <c r="X15" s="17">
        <f t="shared" si="9"/>
        <v>3474.2275826434616</v>
      </c>
      <c r="Y15" s="16">
        <f t="shared" si="12"/>
        <v>3750</v>
      </c>
      <c r="Z15" s="18">
        <f t="shared" si="1"/>
        <v>3179.9349999999999</v>
      </c>
      <c r="AA15" s="16">
        <f t="shared" si="2"/>
        <v>3136.7300352687494</v>
      </c>
      <c r="AB15" s="16">
        <f t="shared" si="3"/>
        <v>3020.5</v>
      </c>
    </row>
    <row r="16" spans="1:28" ht="15.75" customHeight="1" x14ac:dyDescent="0.15">
      <c r="F16" s="3"/>
      <c r="G16" s="3"/>
      <c r="H16">
        <v>800</v>
      </c>
      <c r="I16" s="14">
        <f t="shared" si="4"/>
        <v>3338.837</v>
      </c>
      <c r="J16" s="14">
        <f t="shared" si="14"/>
        <v>3041.2649999999999</v>
      </c>
      <c r="K16" s="14">
        <f t="shared" si="15"/>
        <v>3151.6287084455162</v>
      </c>
      <c r="L16" s="14">
        <f t="shared" si="13"/>
        <v>3069.9135602453371</v>
      </c>
      <c r="M16" s="14">
        <f t="shared" si="5"/>
        <v>3076.9230769230767</v>
      </c>
      <c r="N16" s="15">
        <f t="shared" si="6"/>
        <v>2860.4049999999997</v>
      </c>
      <c r="O16" s="13">
        <f t="shared" si="7"/>
        <v>2868.9771659726416</v>
      </c>
      <c r="P16" s="13">
        <f t="shared" si="8"/>
        <v>2696.9500000000003</v>
      </c>
      <c r="Q16" s="3"/>
      <c r="T16">
        <v>800</v>
      </c>
      <c r="U16" s="16">
        <f t="shared" si="0"/>
        <v>4164.1970000000001</v>
      </c>
      <c r="V16" s="16">
        <f t="shared" si="10"/>
        <v>3837.3079999999995</v>
      </c>
      <c r="W16" s="16">
        <f t="shared" si="11"/>
        <v>4141.6736545555641</v>
      </c>
      <c r="X16" s="17">
        <f t="shared" si="9"/>
        <v>3583.9404347670506</v>
      </c>
      <c r="Y16" s="16">
        <f t="shared" si="12"/>
        <v>4000</v>
      </c>
      <c r="Z16" s="18">
        <f t="shared" si="1"/>
        <v>3380.77</v>
      </c>
      <c r="AA16" s="16">
        <f t="shared" si="2"/>
        <v>3323.3130940418191</v>
      </c>
      <c r="AB16" s="16">
        <f t="shared" si="3"/>
        <v>3147.5</v>
      </c>
    </row>
    <row r="17" spans="6:28" ht="15.75" customHeight="1" x14ac:dyDescent="0.15">
      <c r="F17" s="3"/>
      <c r="G17" s="3"/>
      <c r="H17">
        <v>850</v>
      </c>
      <c r="I17" s="14">
        <f t="shared" si="4"/>
        <v>3552.0570000000002</v>
      </c>
      <c r="J17" s="14">
        <f t="shared" si="14"/>
        <v>3235.34</v>
      </c>
      <c r="K17" s="14">
        <f t="shared" si="15"/>
        <v>3364.3144478536074</v>
      </c>
      <c r="L17" s="14">
        <f t="shared" si="13"/>
        <v>3165.6118505517143</v>
      </c>
      <c r="M17" s="14">
        <f t="shared" si="5"/>
        <v>3269.2307692307691</v>
      </c>
      <c r="N17" s="15">
        <f t="shared" si="6"/>
        <v>3034.3150000000001</v>
      </c>
      <c r="O17" s="13">
        <f t="shared" si="7"/>
        <v>3041.5504480417108</v>
      </c>
      <c r="P17" s="13">
        <f t="shared" si="8"/>
        <v>2770.6300000000006</v>
      </c>
      <c r="Q17" s="3"/>
      <c r="T17">
        <v>850</v>
      </c>
      <c r="U17" s="16">
        <f t="shared" si="0"/>
        <v>4429.0020000000004</v>
      </c>
      <c r="V17" s="16">
        <f t="shared" si="10"/>
        <v>4081.828</v>
      </c>
      <c r="W17" s="16">
        <f t="shared" si="11"/>
        <v>4428.6832387080185</v>
      </c>
      <c r="X17" s="17">
        <f t="shared" si="9"/>
        <v>3689.1855701648838</v>
      </c>
      <c r="Y17" s="16">
        <f t="shared" si="12"/>
        <v>4250</v>
      </c>
      <c r="Z17" s="18">
        <f t="shared" si="1"/>
        <v>3581.605</v>
      </c>
      <c r="AA17" s="16">
        <f t="shared" si="2"/>
        <v>3508.6783536275925</v>
      </c>
      <c r="AB17" s="16">
        <f t="shared" si="3"/>
        <v>3264.5</v>
      </c>
    </row>
    <row r="18" spans="6:28" ht="15.75" customHeight="1" x14ac:dyDescent="0.15">
      <c r="F18" s="3"/>
      <c r="G18" s="3"/>
      <c r="H18">
        <v>900</v>
      </c>
      <c r="I18" s="14">
        <f t="shared" si="4"/>
        <v>3765.277</v>
      </c>
      <c r="J18" s="14">
        <f t="shared" si="14"/>
        <v>3429.415</v>
      </c>
      <c r="K18" s="14">
        <f t="shared" si="15"/>
        <v>3577.9687657555746</v>
      </c>
      <c r="L18" s="14">
        <f t="shared" si="13"/>
        <v>3257.2615532467457</v>
      </c>
      <c r="M18" s="14">
        <f t="shared" si="5"/>
        <v>3461.5384615384614</v>
      </c>
      <c r="N18" s="15">
        <f t="shared" si="6"/>
        <v>3208.2249999999999</v>
      </c>
      <c r="O18" s="13">
        <f t="shared" si="7"/>
        <v>3213.7533851870185</v>
      </c>
      <c r="P18" s="13">
        <f t="shared" si="8"/>
        <v>2829.8100000000009</v>
      </c>
      <c r="Q18" s="3"/>
    </row>
    <row r="19" spans="6:28" ht="15.75" customHeight="1" x14ac:dyDescent="0.15">
      <c r="F19" s="3"/>
      <c r="G19" s="3"/>
      <c r="I19" s="6"/>
      <c r="J19" s="6"/>
      <c r="K19" s="6"/>
      <c r="L19" s="6"/>
      <c r="M19" s="6"/>
      <c r="N19" s="6"/>
      <c r="O19" s="6"/>
      <c r="P19" s="6"/>
      <c r="Q19" s="3"/>
    </row>
    <row r="20" spans="6:28" ht="15.75" customHeight="1" x14ac:dyDescent="0.15">
      <c r="F20" s="3"/>
      <c r="G20" s="3"/>
      <c r="I20" s="6"/>
      <c r="J20" s="6"/>
      <c r="K20" s="6"/>
      <c r="L20" s="6"/>
      <c r="M20" s="6"/>
      <c r="N20" s="6"/>
      <c r="O20" s="6"/>
      <c r="P20" s="6"/>
      <c r="Q20" s="3"/>
    </row>
    <row r="21" spans="6:28" ht="15.75" customHeight="1" x14ac:dyDescent="0.15">
      <c r="F21" s="3"/>
      <c r="G21" s="3"/>
      <c r="I21" s="6"/>
      <c r="J21" s="3"/>
      <c r="K21" s="3"/>
      <c r="L21" s="3"/>
      <c r="M21" s="3"/>
      <c r="N21" s="3"/>
      <c r="O21" s="3"/>
      <c r="P21" s="3"/>
      <c r="Q21" s="3"/>
    </row>
    <row r="22" spans="6:28" ht="15.75" customHeight="1" x14ac:dyDescent="0.15">
      <c r="F22" s="3"/>
      <c r="G22" s="3"/>
      <c r="I22" s="6"/>
      <c r="J22" s="3"/>
      <c r="K22" s="3"/>
      <c r="L22" s="3"/>
      <c r="M22" s="3"/>
      <c r="N22" s="3"/>
      <c r="O22" s="3"/>
      <c r="P22" s="3"/>
      <c r="Q22" s="3"/>
      <c r="X22" s="6"/>
    </row>
    <row r="23" spans="6:28" ht="15.75" customHeight="1" x14ac:dyDescent="0.15">
      <c r="F23" s="3"/>
      <c r="G23" s="3"/>
      <c r="I23" s="6"/>
      <c r="J23" s="3"/>
      <c r="K23" s="3"/>
      <c r="L23" s="3"/>
      <c r="M23" s="3"/>
      <c r="N23" s="3"/>
      <c r="O23" s="3"/>
      <c r="P23" s="3"/>
      <c r="Q23" s="3"/>
      <c r="X23" s="6"/>
    </row>
    <row r="24" spans="6:28" ht="15.75" customHeight="1" x14ac:dyDescent="0.15">
      <c r="F24" s="3"/>
      <c r="G24" s="3"/>
      <c r="I24" s="6"/>
      <c r="J24" s="3"/>
      <c r="K24" s="3"/>
      <c r="L24" s="3"/>
      <c r="M24" s="3"/>
      <c r="N24" s="3"/>
      <c r="O24" s="3"/>
      <c r="P24" s="3"/>
      <c r="Q24" s="3"/>
    </row>
    <row r="25" spans="6:28" ht="15.75" customHeight="1" x14ac:dyDescent="0.15">
      <c r="F25" s="3"/>
      <c r="G25" s="3"/>
      <c r="I25" s="6"/>
      <c r="J25" s="3"/>
      <c r="K25" s="3"/>
      <c r="L25" s="3"/>
      <c r="M25" s="3"/>
      <c r="N25" s="3"/>
      <c r="O25" s="3"/>
      <c r="P25" s="3"/>
      <c r="Q25" s="3"/>
    </row>
    <row r="26" spans="6:28" ht="15.75" customHeight="1" x14ac:dyDescent="0.15">
      <c r="F26" s="3"/>
      <c r="G26" s="3"/>
      <c r="I26" s="6"/>
      <c r="J26" s="3"/>
      <c r="K26" s="3"/>
      <c r="L26" s="3"/>
      <c r="M26" s="3"/>
      <c r="N26" s="3"/>
      <c r="O26" s="3"/>
      <c r="P26" s="3"/>
      <c r="Q26" s="3"/>
    </row>
    <row r="27" spans="6:28" ht="15.75" customHeight="1" x14ac:dyDescent="0.15">
      <c r="F27" s="3"/>
      <c r="G27" s="3"/>
      <c r="I27" s="6"/>
      <c r="J27" s="3"/>
      <c r="K27" s="3"/>
      <c r="L27" s="3"/>
      <c r="M27" s="3"/>
      <c r="N27" s="3"/>
      <c r="O27" s="3"/>
      <c r="P27" s="3"/>
      <c r="Q27" s="3"/>
    </row>
    <row r="28" spans="6:28" ht="15.75" customHeight="1" x14ac:dyDescent="0.15">
      <c r="F28" s="3"/>
      <c r="G28" s="3"/>
      <c r="I28" s="6"/>
      <c r="J28" s="3"/>
      <c r="K28" s="3"/>
      <c r="L28" s="3"/>
      <c r="M28" s="3"/>
      <c r="N28" s="3"/>
      <c r="O28" s="3"/>
      <c r="P28" s="3"/>
      <c r="Q28" s="3"/>
    </row>
    <row r="29" spans="6:28" ht="15.75" customHeight="1" x14ac:dyDescent="0.15">
      <c r="F29" s="3"/>
      <c r="G29" s="3"/>
      <c r="I29" s="6"/>
      <c r="J29" s="3"/>
      <c r="K29" s="3"/>
      <c r="L29" s="3"/>
      <c r="M29" s="3"/>
      <c r="N29" s="3"/>
      <c r="O29" s="3"/>
      <c r="P29" s="3"/>
      <c r="Q29" s="3"/>
    </row>
    <row r="30" spans="6:28" ht="15.75" customHeight="1" x14ac:dyDescent="0.15">
      <c r="F30" s="3"/>
      <c r="I30" s="6"/>
      <c r="J30" s="3"/>
      <c r="K30" s="3"/>
      <c r="L30" s="3"/>
      <c r="M30" s="3"/>
      <c r="N30" s="3"/>
      <c r="O30" s="3"/>
      <c r="P30" s="3"/>
      <c r="Q30" s="3"/>
    </row>
    <row r="31" spans="6:28" ht="15.75" customHeight="1" x14ac:dyDescent="0.15">
      <c r="F31" s="3"/>
      <c r="G31" s="3"/>
      <c r="I31" s="6"/>
      <c r="J31" s="3"/>
      <c r="K31" s="3"/>
      <c r="L31" s="3"/>
      <c r="M31" s="3"/>
      <c r="N31" s="3"/>
      <c r="O31" s="3"/>
      <c r="P31" s="3"/>
      <c r="Q31" s="3"/>
    </row>
    <row r="32" spans="6:28" ht="15.75" customHeight="1" x14ac:dyDescent="0.15">
      <c r="F32" s="3"/>
      <c r="G32" s="3"/>
      <c r="I32" s="6"/>
      <c r="J32" s="3"/>
      <c r="K32" s="3"/>
      <c r="L32" s="3"/>
      <c r="M32" s="3"/>
      <c r="N32" s="3"/>
      <c r="O32" s="3"/>
      <c r="P32" s="3"/>
      <c r="Q32" s="3"/>
    </row>
    <row r="33" spans="6:20" ht="15.75" customHeight="1" x14ac:dyDescent="0.15">
      <c r="F33" s="3"/>
      <c r="G33" s="3"/>
      <c r="I33" s="6"/>
      <c r="J33" s="3"/>
      <c r="K33" s="3"/>
      <c r="L33" s="3"/>
      <c r="M33" s="3"/>
      <c r="N33" s="3"/>
      <c r="O33" s="3"/>
      <c r="P33" s="3"/>
      <c r="Q33" s="3"/>
    </row>
    <row r="34" spans="6:20" ht="15.75" customHeight="1" x14ac:dyDescent="0.15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T34" s="3"/>
    </row>
    <row r="35" spans="6:20" ht="15.75" customHeight="1" x14ac:dyDescent="0.1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T35" s="3"/>
    </row>
    <row r="36" spans="6:20" ht="15.75" customHeight="1" x14ac:dyDescent="0.1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T36" s="3"/>
    </row>
    <row r="37" spans="6:20" ht="15.75" customHeight="1" x14ac:dyDescent="0.1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T37" s="3"/>
    </row>
    <row r="38" spans="6:20" ht="15.75" customHeight="1" x14ac:dyDescent="0.15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T38" s="3"/>
    </row>
    <row r="39" spans="6:20" ht="15.75" customHeight="1" x14ac:dyDescent="0.1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T39" s="3"/>
    </row>
    <row r="40" spans="6:20" ht="15.75" customHeight="1" x14ac:dyDescent="0.1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T40" s="3"/>
    </row>
    <row r="41" spans="6:20" ht="15.75" customHeight="1" x14ac:dyDescent="0.1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T41" s="3"/>
    </row>
    <row r="42" spans="6:20" ht="15.75" customHeight="1" x14ac:dyDescent="0.1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T42" s="3"/>
    </row>
    <row r="43" spans="6:20" ht="15.75" customHeight="1" x14ac:dyDescent="0.1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T43" s="3"/>
    </row>
    <row r="44" spans="6:20" ht="15.75" customHeight="1" x14ac:dyDescent="0.1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T44" s="3"/>
    </row>
    <row r="45" spans="6:20" ht="15.75" customHeight="1" x14ac:dyDescent="0.1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T45" s="3"/>
    </row>
    <row r="46" spans="6:20" ht="15.75" customHeight="1" x14ac:dyDescent="0.1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T46" s="3"/>
    </row>
    <row r="47" spans="6:20" ht="15.75" customHeight="1" x14ac:dyDescent="0.1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T47" s="3"/>
    </row>
    <row r="48" spans="6:20" ht="15.75" customHeight="1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T48" s="3"/>
    </row>
    <row r="49" spans="6:20" ht="15.75" customHeight="1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T49" s="3"/>
    </row>
    <row r="50" spans="6:20" ht="15.75" customHeight="1" x14ac:dyDescent="0.15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T50" s="3"/>
    </row>
    <row r="51" spans="6:20" ht="15.75" customHeight="1" x14ac:dyDescent="0.15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T51" s="3"/>
    </row>
    <row r="52" spans="6:20" ht="15.75" customHeight="1" x14ac:dyDescent="0.15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T52" s="3"/>
    </row>
    <row r="53" spans="6:20" ht="15.75" customHeight="1" x14ac:dyDescent="0.15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T53" s="3"/>
    </row>
    <row r="54" spans="6:20" ht="15.75" customHeight="1" x14ac:dyDescent="0.15"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T54" s="3"/>
    </row>
    <row r="55" spans="6:20" ht="15.75" customHeight="1" x14ac:dyDescent="0.1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T55" s="3"/>
    </row>
    <row r="56" spans="6:20" ht="15.75" customHeight="1" x14ac:dyDescent="0.15"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T56" s="3"/>
    </row>
    <row r="57" spans="6:20" ht="15.75" customHeight="1" x14ac:dyDescent="0.15"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T57" s="3"/>
    </row>
    <row r="58" spans="6:20" ht="15.75" customHeight="1" x14ac:dyDescent="0.15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T58" s="3"/>
    </row>
    <row r="59" spans="6:20" ht="15.75" customHeight="1" x14ac:dyDescent="0.15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T59" s="3"/>
    </row>
    <row r="60" spans="6:20" ht="15.75" customHeight="1" x14ac:dyDescent="0.15"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T60" s="3"/>
    </row>
    <row r="61" spans="6:20" ht="15.75" customHeight="1" x14ac:dyDescent="0.15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T61" s="3"/>
    </row>
    <row r="62" spans="6:20" ht="15.75" customHeight="1" x14ac:dyDescent="0.15"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T62" s="3"/>
    </row>
    <row r="63" spans="6:20" ht="13" x14ac:dyDescent="0.15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T63" s="3"/>
    </row>
    <row r="64" spans="6:20" ht="13" x14ac:dyDescent="0.15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T64" s="3"/>
    </row>
    <row r="65" spans="6:20" ht="13" x14ac:dyDescent="0.15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T65" s="3"/>
    </row>
    <row r="66" spans="6:20" ht="13" x14ac:dyDescent="0.15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T66" s="3"/>
    </row>
    <row r="67" spans="6:20" ht="13" x14ac:dyDescent="0.15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T67" s="3"/>
    </row>
    <row r="68" spans="6:20" ht="13" x14ac:dyDescent="0.15"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T68" s="3"/>
    </row>
    <row r="69" spans="6:20" ht="13" x14ac:dyDescent="0.1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T69" s="3"/>
    </row>
    <row r="70" spans="6:20" ht="13" x14ac:dyDescent="0.15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T70" s="3"/>
    </row>
    <row r="71" spans="6:20" ht="13" x14ac:dyDescent="0.15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T71" s="3"/>
    </row>
    <row r="72" spans="6:20" ht="13" x14ac:dyDescent="0.15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T72" s="3"/>
    </row>
    <row r="73" spans="6:20" ht="13" x14ac:dyDescent="0.15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T73" s="3"/>
    </row>
    <row r="74" spans="6:20" ht="13" x14ac:dyDescent="0.15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T74" s="3"/>
    </row>
    <row r="75" spans="6:20" ht="13" x14ac:dyDescent="0.15"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T75" s="3"/>
    </row>
    <row r="76" spans="6:20" ht="13" x14ac:dyDescent="0.15"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T76" s="3"/>
    </row>
    <row r="77" spans="6:20" ht="13" x14ac:dyDescent="0.15"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T77" s="3"/>
    </row>
    <row r="78" spans="6:20" ht="13" x14ac:dyDescent="0.15"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T78" s="3"/>
    </row>
    <row r="79" spans="6:20" ht="13" x14ac:dyDescent="0.15"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T79" s="3"/>
    </row>
    <row r="80" spans="6:20" ht="13" x14ac:dyDescent="0.15"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T80" s="3"/>
    </row>
    <row r="81" spans="6:20" ht="13" x14ac:dyDescent="0.15"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T81" s="3"/>
    </row>
    <row r="82" spans="6:20" ht="13" x14ac:dyDescent="0.15"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T82" s="3"/>
    </row>
    <row r="83" spans="6:20" ht="13" x14ac:dyDescent="0.15"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T83" s="3"/>
    </row>
    <row r="84" spans="6:20" ht="13" x14ac:dyDescent="0.15"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T84" s="3"/>
    </row>
    <row r="85" spans="6:20" ht="13" x14ac:dyDescent="0.15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T85" s="3"/>
    </row>
    <row r="86" spans="6:20" ht="13" x14ac:dyDescent="0.15"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T86" s="3"/>
    </row>
    <row r="87" spans="6:20" ht="13" x14ac:dyDescent="0.15"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T87" s="3"/>
    </row>
    <row r="88" spans="6:20" ht="13" x14ac:dyDescent="0.15"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T88" s="3"/>
    </row>
    <row r="89" spans="6:20" ht="13" x14ac:dyDescent="0.15"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T89" s="3"/>
    </row>
    <row r="90" spans="6:20" ht="13" x14ac:dyDescent="0.15"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T90" s="3"/>
    </row>
    <row r="91" spans="6:20" ht="13" x14ac:dyDescent="0.15"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T91" s="3"/>
    </row>
    <row r="92" spans="6:20" ht="13" x14ac:dyDescent="0.15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T92" s="3"/>
    </row>
    <row r="93" spans="6:20" ht="13" x14ac:dyDescent="0.15"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T93" s="3"/>
    </row>
    <row r="94" spans="6:20" ht="13" x14ac:dyDescent="0.15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T94" s="3"/>
    </row>
    <row r="95" spans="6:20" ht="13" x14ac:dyDescent="0.15"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T95" s="3"/>
    </row>
    <row r="96" spans="6:20" ht="13" x14ac:dyDescent="0.15"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T96" s="3"/>
    </row>
    <row r="97" spans="6:20" ht="13" x14ac:dyDescent="0.15"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T97" s="3"/>
    </row>
    <row r="98" spans="6:20" ht="13" x14ac:dyDescent="0.15"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T98" s="3"/>
    </row>
    <row r="99" spans="6:20" ht="13" x14ac:dyDescent="0.15"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T99" s="3"/>
    </row>
    <row r="100" spans="6:20" ht="13" x14ac:dyDescent="0.15"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T100" s="3"/>
    </row>
    <row r="101" spans="6:20" ht="13" x14ac:dyDescent="0.15"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T101" s="3"/>
    </row>
    <row r="102" spans="6:20" ht="13" x14ac:dyDescent="0.15"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T102" s="3"/>
    </row>
    <row r="103" spans="6:20" ht="13" x14ac:dyDescent="0.15"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T103" s="3"/>
    </row>
    <row r="104" spans="6:20" ht="13" x14ac:dyDescent="0.15"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T104" s="3"/>
    </row>
    <row r="105" spans="6:20" ht="13" x14ac:dyDescent="0.15"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T105" s="3"/>
    </row>
    <row r="106" spans="6:20" ht="13" x14ac:dyDescent="0.15"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T106" s="3"/>
    </row>
    <row r="107" spans="6:20" ht="13" x14ac:dyDescent="0.15"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T107" s="3"/>
    </row>
    <row r="108" spans="6:20" ht="13" x14ac:dyDescent="0.15"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T108" s="3"/>
    </row>
    <row r="109" spans="6:20" ht="13" x14ac:dyDescent="0.15"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T109" s="3"/>
    </row>
    <row r="110" spans="6:20" ht="13" x14ac:dyDescent="0.15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T110" s="3"/>
    </row>
    <row r="111" spans="6:20" ht="13" x14ac:dyDescent="0.15"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T111" s="3"/>
    </row>
    <row r="112" spans="6:20" ht="13" x14ac:dyDescent="0.15"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T112" s="3"/>
    </row>
    <row r="113" spans="6:20" ht="13" x14ac:dyDescent="0.15"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T113" s="3"/>
    </row>
    <row r="114" spans="6:20" ht="13" x14ac:dyDescent="0.15"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T114" s="3"/>
    </row>
    <row r="115" spans="6:20" ht="13" x14ac:dyDescent="0.15"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T115" s="3"/>
    </row>
    <row r="116" spans="6:20" ht="13" x14ac:dyDescent="0.15"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T116" s="3"/>
    </row>
    <row r="117" spans="6:20" ht="13" x14ac:dyDescent="0.15"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T117" s="3"/>
    </row>
    <row r="118" spans="6:20" ht="13" x14ac:dyDescent="0.15"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T118" s="3"/>
    </row>
    <row r="119" spans="6:20" ht="13" x14ac:dyDescent="0.15"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T119" s="3"/>
    </row>
    <row r="120" spans="6:20" ht="13" x14ac:dyDescent="0.15"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T120" s="3"/>
    </row>
    <row r="121" spans="6:20" ht="13" x14ac:dyDescent="0.15"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T121" s="3"/>
    </row>
    <row r="122" spans="6:20" ht="13" x14ac:dyDescent="0.15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T122" s="3"/>
    </row>
    <row r="123" spans="6:20" ht="13" x14ac:dyDescent="0.15"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T123" s="3"/>
    </row>
    <row r="124" spans="6:20" ht="13" x14ac:dyDescent="0.15"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T124" s="3"/>
    </row>
    <row r="125" spans="6:20" ht="13" x14ac:dyDescent="0.15"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T125" s="3"/>
    </row>
    <row r="126" spans="6:20" ht="13" x14ac:dyDescent="0.15"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T126" s="3"/>
    </row>
    <row r="127" spans="6:20" ht="13" x14ac:dyDescent="0.15"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T127" s="3"/>
    </row>
    <row r="128" spans="6:20" ht="13" x14ac:dyDescent="0.15"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T128" s="3"/>
    </row>
    <row r="129" spans="6:20" ht="13" x14ac:dyDescent="0.15"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T129" s="3"/>
    </row>
    <row r="130" spans="6:20" ht="13" x14ac:dyDescent="0.15"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T130" s="3"/>
    </row>
    <row r="131" spans="6:20" ht="13" x14ac:dyDescent="0.15"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T131" s="3"/>
    </row>
    <row r="132" spans="6:20" ht="13" x14ac:dyDescent="0.15"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T132" s="3"/>
    </row>
    <row r="133" spans="6:20" ht="13" x14ac:dyDescent="0.15"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T133" s="3"/>
    </row>
    <row r="134" spans="6:20" ht="13" x14ac:dyDescent="0.15"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T134" s="3"/>
    </row>
    <row r="135" spans="6:20" ht="13" x14ac:dyDescent="0.15"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T135" s="3"/>
    </row>
    <row r="136" spans="6:20" ht="13" x14ac:dyDescent="0.15"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T136" s="3"/>
    </row>
    <row r="137" spans="6:20" ht="13" x14ac:dyDescent="0.15"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T137" s="3"/>
    </row>
    <row r="138" spans="6:20" ht="13" x14ac:dyDescent="0.15"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T138" s="3"/>
    </row>
    <row r="139" spans="6:20" ht="13" x14ac:dyDescent="0.15"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T139" s="3"/>
    </row>
    <row r="140" spans="6:20" ht="13" x14ac:dyDescent="0.15"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T140" s="3"/>
    </row>
    <row r="141" spans="6:20" ht="13" x14ac:dyDescent="0.15"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T141" s="3"/>
    </row>
    <row r="142" spans="6:20" ht="13" x14ac:dyDescent="0.15"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T142" s="3"/>
    </row>
    <row r="143" spans="6:20" ht="13" x14ac:dyDescent="0.15"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T143" s="3"/>
    </row>
    <row r="144" spans="6:20" ht="13" x14ac:dyDescent="0.15"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T144" s="3"/>
    </row>
    <row r="145" spans="6:20" ht="13" x14ac:dyDescent="0.15"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T145" s="3"/>
    </row>
    <row r="146" spans="6:20" ht="13" x14ac:dyDescent="0.15"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T146" s="3"/>
    </row>
    <row r="147" spans="6:20" ht="13" x14ac:dyDescent="0.15"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T147" s="3"/>
    </row>
    <row r="148" spans="6:20" ht="13" x14ac:dyDescent="0.15"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T148" s="3"/>
    </row>
    <row r="149" spans="6:20" ht="13" x14ac:dyDescent="0.15"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T149" s="3"/>
    </row>
    <row r="150" spans="6:20" ht="13" x14ac:dyDescent="0.15"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T150" s="3"/>
    </row>
    <row r="151" spans="6:20" ht="13" x14ac:dyDescent="0.15"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T151" s="3"/>
    </row>
    <row r="152" spans="6:20" ht="13" x14ac:dyDescent="0.15"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T152" s="3"/>
    </row>
    <row r="153" spans="6:20" ht="13" x14ac:dyDescent="0.15"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T153" s="3"/>
    </row>
    <row r="154" spans="6:20" ht="13" x14ac:dyDescent="0.15"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T154" s="3"/>
    </row>
    <row r="155" spans="6:20" ht="13" x14ac:dyDescent="0.15"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T155" s="3"/>
    </row>
    <row r="156" spans="6:20" ht="13" x14ac:dyDescent="0.15"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T156" s="3"/>
    </row>
    <row r="157" spans="6:20" ht="13" x14ac:dyDescent="0.15"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T157" s="3"/>
    </row>
    <row r="158" spans="6:20" ht="13" x14ac:dyDescent="0.15"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T158" s="3"/>
    </row>
    <row r="159" spans="6:20" ht="13" x14ac:dyDescent="0.15"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T159" s="3"/>
    </row>
    <row r="160" spans="6:20" ht="13" x14ac:dyDescent="0.15"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T160" s="3"/>
    </row>
    <row r="161" spans="6:20" ht="13" x14ac:dyDescent="0.15"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T161" s="3"/>
    </row>
    <row r="162" spans="6:20" ht="13" x14ac:dyDescent="0.15"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T162" s="3"/>
    </row>
    <row r="163" spans="6:20" ht="13" x14ac:dyDescent="0.15"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T163" s="3"/>
    </row>
    <row r="164" spans="6:20" ht="13" x14ac:dyDescent="0.15"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T164" s="3"/>
    </row>
    <row r="165" spans="6:20" ht="13" x14ac:dyDescent="0.15"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T165" s="3"/>
    </row>
    <row r="166" spans="6:20" ht="13" x14ac:dyDescent="0.15"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T166" s="3"/>
    </row>
    <row r="167" spans="6:20" ht="13" x14ac:dyDescent="0.15"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T167" s="3"/>
    </row>
    <row r="168" spans="6:20" ht="13" x14ac:dyDescent="0.15"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T168" s="3"/>
    </row>
    <row r="169" spans="6:20" ht="13" x14ac:dyDescent="0.15"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T169" s="3"/>
    </row>
    <row r="170" spans="6:20" ht="13" x14ac:dyDescent="0.15"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T170" s="3"/>
    </row>
    <row r="171" spans="6:20" ht="13" x14ac:dyDescent="0.15"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T171" s="3"/>
    </row>
    <row r="172" spans="6:20" ht="13" x14ac:dyDescent="0.15"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T172" s="3"/>
    </row>
    <row r="173" spans="6:20" ht="13" x14ac:dyDescent="0.15"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T173" s="3"/>
    </row>
    <row r="174" spans="6:20" ht="13" x14ac:dyDescent="0.15"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T174" s="3"/>
    </row>
    <row r="175" spans="6:20" ht="13" x14ac:dyDescent="0.15"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T175" s="3"/>
    </row>
    <row r="176" spans="6:20" ht="13" x14ac:dyDescent="0.15"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T176" s="3"/>
    </row>
    <row r="177" spans="6:20" ht="13" x14ac:dyDescent="0.15"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T177" s="3"/>
    </row>
    <row r="178" spans="6:20" ht="13" x14ac:dyDescent="0.15"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T178" s="3"/>
    </row>
    <row r="179" spans="6:20" ht="13" x14ac:dyDescent="0.15"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T179" s="3"/>
    </row>
    <row r="180" spans="6:20" ht="13" x14ac:dyDescent="0.15"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T180" s="3"/>
    </row>
    <row r="181" spans="6:20" ht="13" x14ac:dyDescent="0.15"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T181" s="3"/>
    </row>
    <row r="182" spans="6:20" ht="13" x14ac:dyDescent="0.15"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T182" s="3"/>
    </row>
    <row r="183" spans="6:20" ht="13" x14ac:dyDescent="0.15"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T183" s="3"/>
    </row>
    <row r="184" spans="6:20" ht="13" x14ac:dyDescent="0.15"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T184" s="3"/>
    </row>
    <row r="185" spans="6:20" ht="13" x14ac:dyDescent="0.15"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T185" s="3"/>
    </row>
    <row r="186" spans="6:20" ht="13" x14ac:dyDescent="0.15"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T186" s="3"/>
    </row>
    <row r="187" spans="6:20" ht="13" x14ac:dyDescent="0.15"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T187" s="3"/>
    </row>
    <row r="188" spans="6:20" ht="13" x14ac:dyDescent="0.15"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T188" s="3"/>
    </row>
    <row r="189" spans="6:20" ht="13" x14ac:dyDescent="0.15"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T189" s="3"/>
    </row>
    <row r="190" spans="6:20" ht="13" x14ac:dyDescent="0.15"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T190" s="3"/>
    </row>
    <row r="191" spans="6:20" ht="13" x14ac:dyDescent="0.15"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T191" s="3"/>
    </row>
    <row r="192" spans="6:20" ht="13" x14ac:dyDescent="0.15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T192" s="3"/>
    </row>
    <row r="193" spans="6:20" ht="13" x14ac:dyDescent="0.15"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T193" s="3"/>
    </row>
    <row r="194" spans="6:20" ht="13" x14ac:dyDescent="0.15"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T194" s="3"/>
    </row>
    <row r="195" spans="6:20" ht="13" x14ac:dyDescent="0.15"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T195" s="3"/>
    </row>
    <row r="196" spans="6:20" ht="13" x14ac:dyDescent="0.15"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T196" s="3"/>
    </row>
    <row r="197" spans="6:20" ht="13" x14ac:dyDescent="0.15"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T197" s="3"/>
    </row>
    <row r="198" spans="6:20" ht="13" x14ac:dyDescent="0.15"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T198" s="3"/>
    </row>
    <row r="199" spans="6:20" ht="13" x14ac:dyDescent="0.15"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T199" s="3"/>
    </row>
    <row r="200" spans="6:20" ht="13" x14ac:dyDescent="0.15"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T200" s="3"/>
    </row>
    <row r="201" spans="6:20" ht="13" x14ac:dyDescent="0.15"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T201" s="3"/>
    </row>
    <row r="202" spans="6:20" ht="13" x14ac:dyDescent="0.15"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T202" s="3"/>
    </row>
    <row r="203" spans="6:20" ht="13" x14ac:dyDescent="0.15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T203" s="3"/>
    </row>
    <row r="204" spans="6:20" ht="13" x14ac:dyDescent="0.15"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T204" s="3"/>
    </row>
    <row r="205" spans="6:20" ht="13" x14ac:dyDescent="0.15"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T205" s="3"/>
    </row>
    <row r="206" spans="6:20" ht="13" x14ac:dyDescent="0.15"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T206" s="3"/>
    </row>
    <row r="207" spans="6:20" ht="13" x14ac:dyDescent="0.15"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T207" s="3"/>
    </row>
    <row r="208" spans="6:20" ht="13" x14ac:dyDescent="0.15"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T208" s="3"/>
    </row>
    <row r="209" spans="6:20" ht="13" x14ac:dyDescent="0.15"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T209" s="3"/>
    </row>
    <row r="210" spans="6:20" ht="13" x14ac:dyDescent="0.15"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T210" s="3"/>
    </row>
    <row r="211" spans="6:20" ht="13" x14ac:dyDescent="0.15"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T211" s="3"/>
    </row>
    <row r="212" spans="6:20" ht="13" x14ac:dyDescent="0.15"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T212" s="3"/>
    </row>
    <row r="213" spans="6:20" ht="13" x14ac:dyDescent="0.15"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T213" s="3"/>
    </row>
    <row r="214" spans="6:20" ht="13" x14ac:dyDescent="0.15"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T214" s="3"/>
    </row>
    <row r="215" spans="6:20" ht="13" x14ac:dyDescent="0.15"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T215" s="3"/>
    </row>
    <row r="216" spans="6:20" ht="13" x14ac:dyDescent="0.15"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T216" s="3"/>
    </row>
    <row r="217" spans="6:20" ht="13" x14ac:dyDescent="0.15"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T217" s="3"/>
    </row>
    <row r="218" spans="6:20" ht="13" x14ac:dyDescent="0.15"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T218" s="3"/>
    </row>
    <row r="219" spans="6:20" ht="13" x14ac:dyDescent="0.15"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T219" s="3"/>
    </row>
    <row r="220" spans="6:20" ht="13" x14ac:dyDescent="0.15"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T220" s="3"/>
    </row>
    <row r="221" spans="6:20" ht="13" x14ac:dyDescent="0.15"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T221" s="3"/>
    </row>
    <row r="222" spans="6:20" ht="13" x14ac:dyDescent="0.15"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T222" s="3"/>
    </row>
    <row r="223" spans="6:20" ht="13" x14ac:dyDescent="0.15"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T223" s="3"/>
    </row>
    <row r="224" spans="6:20" ht="13" x14ac:dyDescent="0.15"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T224" s="3"/>
    </row>
    <row r="225" spans="6:20" ht="13" x14ac:dyDescent="0.15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T225" s="3"/>
    </row>
    <row r="226" spans="6:20" ht="13" x14ac:dyDescent="0.15"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T226" s="3"/>
    </row>
    <row r="227" spans="6:20" ht="13" x14ac:dyDescent="0.15"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T227" s="3"/>
    </row>
    <row r="228" spans="6:20" ht="13" x14ac:dyDescent="0.15"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T228" s="3"/>
    </row>
    <row r="229" spans="6:20" ht="13" x14ac:dyDescent="0.15"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T229" s="3"/>
    </row>
    <row r="230" spans="6:20" ht="13" x14ac:dyDescent="0.15"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T230" s="3"/>
    </row>
    <row r="231" spans="6:20" ht="13" x14ac:dyDescent="0.15"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T231" s="3"/>
    </row>
    <row r="232" spans="6:20" ht="13" x14ac:dyDescent="0.15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T232" s="3"/>
    </row>
    <row r="233" spans="6:20" ht="13" x14ac:dyDescent="0.15"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T233" s="3"/>
    </row>
    <row r="234" spans="6:20" ht="13" x14ac:dyDescent="0.15"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T234" s="3"/>
    </row>
    <row r="235" spans="6:20" ht="13" x14ac:dyDescent="0.15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T235" s="3"/>
    </row>
    <row r="236" spans="6:20" ht="13" x14ac:dyDescent="0.15"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T236" s="3"/>
    </row>
    <row r="237" spans="6:20" ht="13" x14ac:dyDescent="0.15"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T237" s="3"/>
    </row>
    <row r="238" spans="6:20" ht="13" x14ac:dyDescent="0.15"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T238" s="3"/>
    </row>
    <row r="239" spans="6:20" ht="13" x14ac:dyDescent="0.15"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T239" s="3"/>
    </row>
    <row r="240" spans="6:20" ht="13" x14ac:dyDescent="0.15"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T240" s="3"/>
    </row>
    <row r="241" spans="6:20" ht="13" x14ac:dyDescent="0.15"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T241" s="3"/>
    </row>
    <row r="242" spans="6:20" ht="13" x14ac:dyDescent="0.15"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T242" s="3"/>
    </row>
    <row r="243" spans="6:20" ht="13" x14ac:dyDescent="0.15"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T243" s="3"/>
    </row>
    <row r="244" spans="6:20" ht="13" x14ac:dyDescent="0.15"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T244" s="3"/>
    </row>
    <row r="245" spans="6:20" ht="13" x14ac:dyDescent="0.15"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T245" s="3"/>
    </row>
    <row r="246" spans="6:20" ht="13" x14ac:dyDescent="0.15"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T246" s="3"/>
    </row>
    <row r="247" spans="6:20" ht="13" x14ac:dyDescent="0.15"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T247" s="3"/>
    </row>
    <row r="248" spans="6:20" ht="13" x14ac:dyDescent="0.15"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T248" s="3"/>
    </row>
    <row r="249" spans="6:20" ht="13" x14ac:dyDescent="0.15"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T249" s="3"/>
    </row>
    <row r="250" spans="6:20" ht="13" x14ac:dyDescent="0.15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T250" s="3"/>
    </row>
    <row r="251" spans="6:20" ht="13" x14ac:dyDescent="0.15"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T251" s="3"/>
    </row>
    <row r="252" spans="6:20" ht="13" x14ac:dyDescent="0.15"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T252" s="3"/>
    </row>
    <row r="253" spans="6:20" ht="13" x14ac:dyDescent="0.15"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T253" s="3"/>
    </row>
    <row r="254" spans="6:20" ht="13" x14ac:dyDescent="0.15"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T254" s="3"/>
    </row>
    <row r="255" spans="6:20" ht="13" x14ac:dyDescent="0.15"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T255" s="3"/>
    </row>
    <row r="256" spans="6:20" ht="13" x14ac:dyDescent="0.15"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T256" s="3"/>
    </row>
    <row r="257" spans="6:20" ht="13" x14ac:dyDescent="0.15"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T257" s="3"/>
    </row>
    <row r="258" spans="6:20" ht="13" x14ac:dyDescent="0.15"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T258" s="3"/>
    </row>
    <row r="259" spans="6:20" ht="13" x14ac:dyDescent="0.15"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T259" s="3"/>
    </row>
    <row r="260" spans="6:20" ht="13" x14ac:dyDescent="0.15"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T260" s="3"/>
    </row>
    <row r="261" spans="6:20" ht="13" x14ac:dyDescent="0.15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T261" s="3"/>
    </row>
    <row r="262" spans="6:20" ht="13" x14ac:dyDescent="0.15"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T262" s="3"/>
    </row>
    <row r="263" spans="6:20" ht="13" x14ac:dyDescent="0.15"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T263" s="3"/>
    </row>
    <row r="264" spans="6:20" ht="13" x14ac:dyDescent="0.15"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T264" s="3"/>
    </row>
    <row r="265" spans="6:20" ht="13" x14ac:dyDescent="0.15"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T265" s="3"/>
    </row>
    <row r="266" spans="6:20" ht="13" x14ac:dyDescent="0.15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T266" s="3"/>
    </row>
    <row r="267" spans="6:20" ht="13" x14ac:dyDescent="0.15"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T267" s="3"/>
    </row>
    <row r="268" spans="6:20" ht="13" x14ac:dyDescent="0.15"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T268" s="3"/>
    </row>
    <row r="269" spans="6:20" ht="13" x14ac:dyDescent="0.15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T269" s="3"/>
    </row>
    <row r="270" spans="6:20" ht="13" x14ac:dyDescent="0.15"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T270" s="3"/>
    </row>
    <row r="271" spans="6:20" ht="13" x14ac:dyDescent="0.15"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T271" s="3"/>
    </row>
    <row r="272" spans="6:20" ht="13" x14ac:dyDescent="0.15"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T272" s="3"/>
    </row>
    <row r="273" spans="6:20" ht="13" x14ac:dyDescent="0.15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T273" s="3"/>
    </row>
    <row r="274" spans="6:20" ht="13" x14ac:dyDescent="0.15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T274" s="3"/>
    </row>
    <row r="275" spans="6:20" ht="13" x14ac:dyDescent="0.15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T275" s="3"/>
    </row>
    <row r="276" spans="6:20" ht="13" x14ac:dyDescent="0.15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T276" s="3"/>
    </row>
    <row r="277" spans="6:20" ht="13" x14ac:dyDescent="0.15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T277" s="3"/>
    </row>
    <row r="278" spans="6:20" ht="13" x14ac:dyDescent="0.15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T278" s="3"/>
    </row>
    <row r="279" spans="6:20" ht="13" x14ac:dyDescent="0.15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T279" s="3"/>
    </row>
    <row r="280" spans="6:20" ht="13" x14ac:dyDescent="0.15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T280" s="3"/>
    </row>
    <row r="281" spans="6:20" ht="13" x14ac:dyDescent="0.15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T281" s="3"/>
    </row>
    <row r="282" spans="6:20" ht="13" x14ac:dyDescent="0.15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T282" s="3"/>
    </row>
    <row r="283" spans="6:20" ht="13" x14ac:dyDescent="0.15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T283" s="3"/>
    </row>
    <row r="284" spans="6:20" ht="13" x14ac:dyDescent="0.15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T284" s="3"/>
    </row>
    <row r="285" spans="6:20" ht="13" x14ac:dyDescent="0.15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T285" s="3"/>
    </row>
    <row r="286" spans="6:20" ht="13" x14ac:dyDescent="0.15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T286" s="3"/>
    </row>
    <row r="287" spans="6:20" ht="13" x14ac:dyDescent="0.15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T287" s="3"/>
    </row>
    <row r="288" spans="6:20" ht="13" x14ac:dyDescent="0.15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T288" s="3"/>
    </row>
    <row r="289" spans="6:20" ht="13" x14ac:dyDescent="0.15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T289" s="3"/>
    </row>
    <row r="290" spans="6:20" ht="13" x14ac:dyDescent="0.15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T290" s="3"/>
    </row>
    <row r="291" spans="6:20" ht="13" x14ac:dyDescent="0.15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T291" s="3"/>
    </row>
    <row r="292" spans="6:20" ht="13" x14ac:dyDescent="0.15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T292" s="3"/>
    </row>
    <row r="293" spans="6:20" ht="13" x14ac:dyDescent="0.15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T293" s="3"/>
    </row>
    <row r="294" spans="6:20" ht="13" x14ac:dyDescent="0.15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T294" s="3"/>
    </row>
    <row r="295" spans="6:20" ht="13" x14ac:dyDescent="0.15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T295" s="3"/>
    </row>
    <row r="296" spans="6:20" ht="13" x14ac:dyDescent="0.15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T296" s="3"/>
    </row>
    <row r="297" spans="6:20" ht="13" x14ac:dyDescent="0.15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T297" s="3"/>
    </row>
    <row r="298" spans="6:20" ht="13" x14ac:dyDescent="0.15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T298" s="3"/>
    </row>
    <row r="299" spans="6:20" ht="13" x14ac:dyDescent="0.15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T299" s="3"/>
    </row>
    <row r="300" spans="6:20" ht="13" x14ac:dyDescent="0.15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T300" s="3"/>
    </row>
    <row r="301" spans="6:20" ht="13" x14ac:dyDescent="0.15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T301" s="3"/>
    </row>
    <row r="302" spans="6:20" ht="13" x14ac:dyDescent="0.15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T302" s="3"/>
    </row>
    <row r="303" spans="6:20" ht="13" x14ac:dyDescent="0.15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T303" s="3"/>
    </row>
    <row r="304" spans="6:20" ht="13" x14ac:dyDescent="0.15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T304" s="3"/>
    </row>
    <row r="305" spans="6:20" ht="13" x14ac:dyDescent="0.15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T305" s="3"/>
    </row>
    <row r="306" spans="6:20" ht="13" x14ac:dyDescent="0.15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T306" s="3"/>
    </row>
    <row r="307" spans="6:20" ht="13" x14ac:dyDescent="0.15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T307" s="3"/>
    </row>
    <row r="308" spans="6:20" ht="13" x14ac:dyDescent="0.15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T308" s="3"/>
    </row>
    <row r="309" spans="6:20" ht="13" x14ac:dyDescent="0.15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T309" s="3"/>
    </row>
    <row r="310" spans="6:20" ht="13" x14ac:dyDescent="0.15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T310" s="3"/>
    </row>
    <row r="311" spans="6:20" ht="13" x14ac:dyDescent="0.15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T311" s="3"/>
    </row>
    <row r="312" spans="6:20" ht="13" x14ac:dyDescent="0.15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T312" s="3"/>
    </row>
    <row r="313" spans="6:20" ht="13" x14ac:dyDescent="0.15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T313" s="3"/>
    </row>
    <row r="314" spans="6:20" ht="13" x14ac:dyDescent="0.15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T314" s="3"/>
    </row>
    <row r="315" spans="6:20" ht="13" x14ac:dyDescent="0.15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T315" s="3"/>
    </row>
    <row r="316" spans="6:20" ht="13" x14ac:dyDescent="0.15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T316" s="3"/>
    </row>
    <row r="317" spans="6:20" ht="13" x14ac:dyDescent="0.15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T317" s="3"/>
    </row>
    <row r="318" spans="6:20" ht="13" x14ac:dyDescent="0.15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T318" s="3"/>
    </row>
    <row r="319" spans="6:20" ht="13" x14ac:dyDescent="0.15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T319" s="3"/>
    </row>
    <row r="320" spans="6:20" ht="13" x14ac:dyDescent="0.15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T320" s="3"/>
    </row>
    <row r="321" spans="6:20" ht="13" x14ac:dyDescent="0.15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T321" s="3"/>
    </row>
    <row r="322" spans="6:20" ht="13" x14ac:dyDescent="0.15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T322" s="3"/>
    </row>
    <row r="323" spans="6:20" ht="13" x14ac:dyDescent="0.15"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T323" s="3"/>
    </row>
    <row r="324" spans="6:20" ht="13" x14ac:dyDescent="0.15"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T324" s="3"/>
    </row>
    <row r="325" spans="6:20" ht="13" x14ac:dyDescent="0.15"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T325" s="3"/>
    </row>
    <row r="326" spans="6:20" ht="13" x14ac:dyDescent="0.15"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T326" s="3"/>
    </row>
    <row r="327" spans="6:20" ht="13" x14ac:dyDescent="0.15"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T327" s="3"/>
    </row>
    <row r="328" spans="6:20" ht="13" x14ac:dyDescent="0.15"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T328" s="3"/>
    </row>
    <row r="329" spans="6:20" ht="13" x14ac:dyDescent="0.15"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T329" s="3"/>
    </row>
    <row r="330" spans="6:20" ht="13" x14ac:dyDescent="0.15"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T330" s="3"/>
    </row>
    <row r="331" spans="6:20" ht="13" x14ac:dyDescent="0.15"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T331" s="3"/>
    </row>
    <row r="332" spans="6:20" ht="13" x14ac:dyDescent="0.15"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T332" s="3"/>
    </row>
    <row r="333" spans="6:20" ht="13" x14ac:dyDescent="0.15"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T333" s="3"/>
    </row>
    <row r="334" spans="6:20" ht="13" x14ac:dyDescent="0.15"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T334" s="3"/>
    </row>
    <row r="335" spans="6:20" ht="13" x14ac:dyDescent="0.15"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T335" s="3"/>
    </row>
    <row r="336" spans="6:20" ht="13" x14ac:dyDescent="0.15"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T336" s="3"/>
    </row>
    <row r="337" spans="6:20" ht="13" x14ac:dyDescent="0.15"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T337" s="3"/>
    </row>
    <row r="338" spans="6:20" ht="13" x14ac:dyDescent="0.15"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T338" s="3"/>
    </row>
    <row r="339" spans="6:20" ht="13" x14ac:dyDescent="0.15"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T339" s="3"/>
    </row>
    <row r="340" spans="6:20" ht="13" x14ac:dyDescent="0.15"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T340" s="3"/>
    </row>
    <row r="341" spans="6:20" ht="13" x14ac:dyDescent="0.15"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T341" s="3"/>
    </row>
    <row r="342" spans="6:20" ht="13" x14ac:dyDescent="0.15"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T342" s="3"/>
    </row>
    <row r="343" spans="6:20" ht="13" x14ac:dyDescent="0.15"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T343" s="3"/>
    </row>
    <row r="344" spans="6:20" ht="13" x14ac:dyDescent="0.15"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T344" s="3"/>
    </row>
    <row r="345" spans="6:20" ht="13" x14ac:dyDescent="0.15"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T345" s="3"/>
    </row>
    <row r="346" spans="6:20" ht="13" x14ac:dyDescent="0.15"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T346" s="3"/>
    </row>
    <row r="347" spans="6:20" ht="13" x14ac:dyDescent="0.15"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T347" s="3"/>
    </row>
    <row r="348" spans="6:20" ht="13" x14ac:dyDescent="0.15"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T348" s="3"/>
    </row>
    <row r="349" spans="6:20" ht="13" x14ac:dyDescent="0.15"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T349" s="3"/>
    </row>
    <row r="350" spans="6:20" ht="13" x14ac:dyDescent="0.15"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T350" s="3"/>
    </row>
    <row r="351" spans="6:20" ht="13" x14ac:dyDescent="0.15"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T351" s="3"/>
    </row>
    <row r="352" spans="6:20" ht="13" x14ac:dyDescent="0.15"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T352" s="3"/>
    </row>
    <row r="353" spans="6:20" ht="13" x14ac:dyDescent="0.15"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T353" s="3"/>
    </row>
    <row r="354" spans="6:20" ht="13" x14ac:dyDescent="0.15"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T354" s="3"/>
    </row>
    <row r="355" spans="6:20" ht="13" x14ac:dyDescent="0.15"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T355" s="3"/>
    </row>
    <row r="356" spans="6:20" ht="13" x14ac:dyDescent="0.15"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T356" s="3"/>
    </row>
    <row r="357" spans="6:20" ht="13" x14ac:dyDescent="0.15"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T357" s="3"/>
    </row>
    <row r="358" spans="6:20" ht="13" x14ac:dyDescent="0.15"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T358" s="3"/>
    </row>
    <row r="359" spans="6:20" ht="13" x14ac:dyDescent="0.15"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T359" s="3"/>
    </row>
    <row r="360" spans="6:20" ht="13" x14ac:dyDescent="0.15"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T360" s="3"/>
    </row>
    <row r="361" spans="6:20" ht="13" x14ac:dyDescent="0.15"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T361" s="3"/>
    </row>
    <row r="362" spans="6:20" ht="13" x14ac:dyDescent="0.15"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T362" s="3"/>
    </row>
    <row r="363" spans="6:20" ht="13" x14ac:dyDescent="0.15"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T363" s="3"/>
    </row>
    <row r="364" spans="6:20" ht="13" x14ac:dyDescent="0.15"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T364" s="3"/>
    </row>
    <row r="365" spans="6:20" ht="13" x14ac:dyDescent="0.15"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T365" s="3"/>
    </row>
    <row r="366" spans="6:20" ht="13" x14ac:dyDescent="0.15"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T366" s="3"/>
    </row>
    <row r="367" spans="6:20" ht="13" x14ac:dyDescent="0.15"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T367" s="3"/>
    </row>
    <row r="368" spans="6:20" ht="13" x14ac:dyDescent="0.15"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T368" s="3"/>
    </row>
    <row r="369" spans="6:20" ht="13" x14ac:dyDescent="0.15"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T369" s="3"/>
    </row>
    <row r="370" spans="6:20" ht="13" x14ac:dyDescent="0.15"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T370" s="3"/>
    </row>
    <row r="371" spans="6:20" ht="13" x14ac:dyDescent="0.15"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T371" s="3"/>
    </row>
    <row r="372" spans="6:20" ht="13" x14ac:dyDescent="0.15"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T372" s="3"/>
    </row>
    <row r="373" spans="6:20" ht="13" x14ac:dyDescent="0.15"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T373" s="3"/>
    </row>
    <row r="374" spans="6:20" ht="13" x14ac:dyDescent="0.15"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T374" s="3"/>
    </row>
    <row r="375" spans="6:20" ht="13" x14ac:dyDescent="0.15"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T375" s="3"/>
    </row>
    <row r="376" spans="6:20" ht="13" x14ac:dyDescent="0.15"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T376" s="3"/>
    </row>
    <row r="377" spans="6:20" ht="13" x14ac:dyDescent="0.15"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T377" s="3"/>
    </row>
    <row r="378" spans="6:20" ht="13" x14ac:dyDescent="0.15"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T378" s="3"/>
    </row>
    <row r="379" spans="6:20" ht="13" x14ac:dyDescent="0.15"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T379" s="3"/>
    </row>
    <row r="380" spans="6:20" ht="13" x14ac:dyDescent="0.15"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T380" s="3"/>
    </row>
    <row r="381" spans="6:20" ht="13" x14ac:dyDescent="0.15"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T381" s="3"/>
    </row>
    <row r="382" spans="6:20" ht="13" x14ac:dyDescent="0.15"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T382" s="3"/>
    </row>
    <row r="383" spans="6:20" ht="13" x14ac:dyDescent="0.15"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T383" s="3"/>
    </row>
    <row r="384" spans="6:20" ht="13" x14ac:dyDescent="0.15"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T384" s="3"/>
    </row>
    <row r="385" spans="6:20" ht="13" x14ac:dyDescent="0.15"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T385" s="3"/>
    </row>
    <row r="386" spans="6:20" ht="13" x14ac:dyDescent="0.15"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T386" s="3"/>
    </row>
    <row r="387" spans="6:20" ht="13" x14ac:dyDescent="0.15"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T387" s="3"/>
    </row>
    <row r="388" spans="6:20" ht="13" x14ac:dyDescent="0.15"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T388" s="3"/>
    </row>
    <row r="389" spans="6:20" ht="13" x14ac:dyDescent="0.15"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T389" s="3"/>
    </row>
    <row r="390" spans="6:20" ht="13" x14ac:dyDescent="0.15"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T390" s="3"/>
    </row>
    <row r="391" spans="6:20" ht="13" x14ac:dyDescent="0.15"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T391" s="3"/>
    </row>
    <row r="392" spans="6:20" ht="13" x14ac:dyDescent="0.15"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T392" s="3"/>
    </row>
    <row r="393" spans="6:20" ht="13" x14ac:dyDescent="0.15"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T393" s="3"/>
    </row>
    <row r="394" spans="6:20" ht="13" x14ac:dyDescent="0.15"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T394" s="3"/>
    </row>
    <row r="395" spans="6:20" ht="13" x14ac:dyDescent="0.15"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T395" s="3"/>
    </row>
    <row r="396" spans="6:20" ht="13" x14ac:dyDescent="0.15"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T396" s="3"/>
    </row>
    <row r="397" spans="6:20" ht="13" x14ac:dyDescent="0.15"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T397" s="3"/>
    </row>
    <row r="398" spans="6:20" ht="13" x14ac:dyDescent="0.15"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T398" s="3"/>
    </row>
    <row r="399" spans="6:20" ht="13" x14ac:dyDescent="0.15"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T399" s="3"/>
    </row>
    <row r="400" spans="6:20" ht="13" x14ac:dyDescent="0.15"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T400" s="3"/>
    </row>
    <row r="401" spans="6:20" ht="13" x14ac:dyDescent="0.15"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T401" s="3"/>
    </row>
    <row r="402" spans="6:20" ht="13" x14ac:dyDescent="0.15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T402" s="3"/>
    </row>
    <row r="403" spans="6:20" ht="13" x14ac:dyDescent="0.15"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T403" s="3"/>
    </row>
    <row r="404" spans="6:20" ht="13" x14ac:dyDescent="0.15"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T404" s="3"/>
    </row>
    <row r="405" spans="6:20" ht="13" x14ac:dyDescent="0.15"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T405" s="3"/>
    </row>
    <row r="406" spans="6:20" ht="13" x14ac:dyDescent="0.15"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T406" s="3"/>
    </row>
    <row r="407" spans="6:20" ht="13" x14ac:dyDescent="0.15"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T407" s="3"/>
    </row>
    <row r="408" spans="6:20" ht="13" x14ac:dyDescent="0.15"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T408" s="3"/>
    </row>
    <row r="409" spans="6:20" ht="13" x14ac:dyDescent="0.15"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T409" s="3"/>
    </row>
    <row r="410" spans="6:20" ht="13" x14ac:dyDescent="0.15"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T410" s="3"/>
    </row>
    <row r="411" spans="6:20" ht="13" x14ac:dyDescent="0.15"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T411" s="3"/>
    </row>
    <row r="412" spans="6:20" ht="13" x14ac:dyDescent="0.15"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T412" s="3"/>
    </row>
    <row r="413" spans="6:20" ht="13" x14ac:dyDescent="0.15"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T413" s="3"/>
    </row>
    <row r="414" spans="6:20" ht="13" x14ac:dyDescent="0.15"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T414" s="3"/>
    </row>
    <row r="415" spans="6:20" ht="13" x14ac:dyDescent="0.15"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T415" s="3"/>
    </row>
    <row r="416" spans="6:20" ht="13" x14ac:dyDescent="0.15"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T416" s="3"/>
    </row>
    <row r="417" spans="6:20" ht="13" x14ac:dyDescent="0.15"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T417" s="3"/>
    </row>
    <row r="418" spans="6:20" ht="13" x14ac:dyDescent="0.15"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T418" s="3"/>
    </row>
    <row r="419" spans="6:20" ht="13" x14ac:dyDescent="0.15"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T419" s="3"/>
    </row>
    <row r="420" spans="6:20" ht="13" x14ac:dyDescent="0.15"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T420" s="3"/>
    </row>
    <row r="421" spans="6:20" ht="13" x14ac:dyDescent="0.15"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T421" s="3"/>
    </row>
    <row r="422" spans="6:20" ht="13" x14ac:dyDescent="0.15"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T422" s="3"/>
    </row>
    <row r="423" spans="6:20" ht="13" x14ac:dyDescent="0.15"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T423" s="3"/>
    </row>
    <row r="424" spans="6:20" ht="13" x14ac:dyDescent="0.15"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T424" s="3"/>
    </row>
    <row r="425" spans="6:20" ht="13" x14ac:dyDescent="0.15"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T425" s="3"/>
    </row>
    <row r="426" spans="6:20" ht="13" x14ac:dyDescent="0.15"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T426" s="3"/>
    </row>
    <row r="427" spans="6:20" ht="13" x14ac:dyDescent="0.15"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T427" s="3"/>
    </row>
    <row r="428" spans="6:20" ht="13" x14ac:dyDescent="0.15"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T428" s="3"/>
    </row>
    <row r="429" spans="6:20" ht="13" x14ac:dyDescent="0.15"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T429" s="3"/>
    </row>
    <row r="430" spans="6:20" ht="13" x14ac:dyDescent="0.15"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T430" s="3"/>
    </row>
    <row r="431" spans="6:20" ht="13" x14ac:dyDescent="0.15"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T431" s="3"/>
    </row>
    <row r="432" spans="6:20" ht="13" x14ac:dyDescent="0.15"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T432" s="3"/>
    </row>
    <row r="433" spans="6:20" ht="13" x14ac:dyDescent="0.15"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T433" s="3"/>
    </row>
    <row r="434" spans="6:20" ht="13" x14ac:dyDescent="0.15"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T434" s="3"/>
    </row>
    <row r="435" spans="6:20" ht="13" x14ac:dyDescent="0.15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T435" s="3"/>
    </row>
    <row r="436" spans="6:20" ht="13" x14ac:dyDescent="0.15"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T436" s="3"/>
    </row>
    <row r="437" spans="6:20" ht="13" x14ac:dyDescent="0.15"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T437" s="3"/>
    </row>
    <row r="438" spans="6:20" ht="13" x14ac:dyDescent="0.15"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T438" s="3"/>
    </row>
    <row r="439" spans="6:20" ht="13" x14ac:dyDescent="0.15"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T439" s="3"/>
    </row>
    <row r="440" spans="6:20" ht="13" x14ac:dyDescent="0.15"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T440" s="3"/>
    </row>
    <row r="441" spans="6:20" ht="13" x14ac:dyDescent="0.15"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T441" s="3"/>
    </row>
    <row r="442" spans="6:20" ht="13" x14ac:dyDescent="0.15"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T442" s="3"/>
    </row>
    <row r="443" spans="6:20" ht="13" x14ac:dyDescent="0.15"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T443" s="3"/>
    </row>
    <row r="444" spans="6:20" ht="13" x14ac:dyDescent="0.15"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T444" s="3"/>
    </row>
    <row r="445" spans="6:20" ht="13" x14ac:dyDescent="0.15"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T445" s="3"/>
    </row>
    <row r="446" spans="6:20" ht="13" x14ac:dyDescent="0.15"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T446" s="3"/>
    </row>
    <row r="447" spans="6:20" ht="13" x14ac:dyDescent="0.15"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T447" s="3"/>
    </row>
    <row r="448" spans="6:20" ht="13" x14ac:dyDescent="0.15"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T448" s="3"/>
    </row>
    <row r="449" spans="6:20" ht="13" x14ac:dyDescent="0.15"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T449" s="3"/>
    </row>
    <row r="450" spans="6:20" ht="13" x14ac:dyDescent="0.15"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T450" s="3"/>
    </row>
    <row r="451" spans="6:20" ht="13" x14ac:dyDescent="0.15"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T451" s="3"/>
    </row>
    <row r="452" spans="6:20" ht="13" x14ac:dyDescent="0.15"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T452" s="3"/>
    </row>
    <row r="453" spans="6:20" ht="13" x14ac:dyDescent="0.15"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T453" s="3"/>
    </row>
    <row r="454" spans="6:20" ht="13" x14ac:dyDescent="0.15"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T454" s="3"/>
    </row>
    <row r="455" spans="6:20" ht="13" x14ac:dyDescent="0.15"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T455" s="3"/>
    </row>
    <row r="456" spans="6:20" ht="13" x14ac:dyDescent="0.15"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T456" s="3"/>
    </row>
    <row r="457" spans="6:20" ht="13" x14ac:dyDescent="0.15"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T457" s="3"/>
    </row>
    <row r="458" spans="6:20" ht="13" x14ac:dyDescent="0.15"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T458" s="3"/>
    </row>
    <row r="459" spans="6:20" ht="13" x14ac:dyDescent="0.15"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T459" s="3"/>
    </row>
    <row r="460" spans="6:20" ht="13" x14ac:dyDescent="0.15"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T460" s="3"/>
    </row>
    <row r="461" spans="6:20" ht="13" x14ac:dyDescent="0.15"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T461" s="3"/>
    </row>
    <row r="462" spans="6:20" ht="13" x14ac:dyDescent="0.15"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T462" s="3"/>
    </row>
    <row r="463" spans="6:20" ht="13" x14ac:dyDescent="0.15"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T463" s="3"/>
    </row>
    <row r="464" spans="6:20" ht="13" x14ac:dyDescent="0.15"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T464" s="3"/>
    </row>
    <row r="465" spans="6:20" ht="13" x14ac:dyDescent="0.15"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T465" s="3"/>
    </row>
    <row r="466" spans="6:20" ht="13" x14ac:dyDescent="0.15"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T466" s="3"/>
    </row>
    <row r="467" spans="6:20" ht="13" x14ac:dyDescent="0.15"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T467" s="3"/>
    </row>
    <row r="468" spans="6:20" ht="13" x14ac:dyDescent="0.15"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T468" s="3"/>
    </row>
    <row r="469" spans="6:20" ht="13" x14ac:dyDescent="0.15"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T469" s="3"/>
    </row>
    <row r="470" spans="6:20" ht="13" x14ac:dyDescent="0.15"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T470" s="3"/>
    </row>
    <row r="471" spans="6:20" ht="13" x14ac:dyDescent="0.15"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T471" s="3"/>
    </row>
    <row r="472" spans="6:20" ht="13" x14ac:dyDescent="0.15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T472" s="3"/>
    </row>
    <row r="473" spans="6:20" ht="13" x14ac:dyDescent="0.15"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T473" s="3"/>
    </row>
    <row r="474" spans="6:20" ht="13" x14ac:dyDescent="0.15"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T474" s="3"/>
    </row>
    <row r="475" spans="6:20" ht="13" x14ac:dyDescent="0.15"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T475" s="3"/>
    </row>
    <row r="476" spans="6:20" ht="13" x14ac:dyDescent="0.15"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T476" s="3"/>
    </row>
    <row r="477" spans="6:20" ht="13" x14ac:dyDescent="0.15"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T477" s="3"/>
    </row>
    <row r="478" spans="6:20" ht="13" x14ac:dyDescent="0.15"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T478" s="3"/>
    </row>
    <row r="479" spans="6:20" ht="13" x14ac:dyDescent="0.15"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T479" s="3"/>
    </row>
    <row r="480" spans="6:20" ht="13" x14ac:dyDescent="0.15"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T480" s="3"/>
    </row>
    <row r="481" spans="6:20" ht="13" x14ac:dyDescent="0.15"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T481" s="3"/>
    </row>
    <row r="482" spans="6:20" ht="13" x14ac:dyDescent="0.15"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T482" s="3"/>
    </row>
    <row r="483" spans="6:20" ht="13" x14ac:dyDescent="0.15"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T483" s="3"/>
    </row>
    <row r="484" spans="6:20" ht="13" x14ac:dyDescent="0.15"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T484" s="3"/>
    </row>
    <row r="485" spans="6:20" ht="13" x14ac:dyDescent="0.15"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T485" s="3"/>
    </row>
    <row r="486" spans="6:20" ht="13" x14ac:dyDescent="0.15"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T486" s="3"/>
    </row>
    <row r="487" spans="6:20" ht="13" x14ac:dyDescent="0.15"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T487" s="3"/>
    </row>
    <row r="488" spans="6:20" ht="13" x14ac:dyDescent="0.15"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T488" s="3"/>
    </row>
    <row r="489" spans="6:20" ht="13" x14ac:dyDescent="0.15"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T489" s="3"/>
    </row>
    <row r="490" spans="6:20" ht="13" x14ac:dyDescent="0.15"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T490" s="3"/>
    </row>
    <row r="491" spans="6:20" ht="13" x14ac:dyDescent="0.15"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T491" s="3"/>
    </row>
    <row r="492" spans="6:20" ht="13" x14ac:dyDescent="0.15"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T492" s="3"/>
    </row>
    <row r="493" spans="6:20" ht="13" x14ac:dyDescent="0.15"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T493" s="3"/>
    </row>
    <row r="494" spans="6:20" ht="13" x14ac:dyDescent="0.15"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T494" s="3"/>
    </row>
    <row r="495" spans="6:20" ht="13" x14ac:dyDescent="0.15"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T495" s="3"/>
    </row>
    <row r="496" spans="6:20" ht="13" x14ac:dyDescent="0.15"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T496" s="3"/>
    </row>
    <row r="497" spans="6:20" ht="13" x14ac:dyDescent="0.15"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T497" s="3"/>
    </row>
    <row r="498" spans="6:20" ht="13" x14ac:dyDescent="0.15"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T498" s="3"/>
    </row>
    <row r="499" spans="6:20" ht="13" x14ac:dyDescent="0.15"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T499" s="3"/>
    </row>
    <row r="500" spans="6:20" ht="13" x14ac:dyDescent="0.15"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T500" s="3"/>
    </row>
    <row r="501" spans="6:20" ht="13" x14ac:dyDescent="0.15"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T501" s="3"/>
    </row>
    <row r="502" spans="6:20" ht="13" x14ac:dyDescent="0.15"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T502" s="3"/>
    </row>
    <row r="503" spans="6:20" ht="13" x14ac:dyDescent="0.15"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T503" s="3"/>
    </row>
    <row r="504" spans="6:20" ht="13" x14ac:dyDescent="0.15"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T504" s="3"/>
    </row>
    <row r="505" spans="6:20" ht="13" x14ac:dyDescent="0.15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T505" s="3"/>
    </row>
    <row r="506" spans="6:20" ht="13" x14ac:dyDescent="0.15"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T506" s="3"/>
    </row>
    <row r="507" spans="6:20" ht="13" x14ac:dyDescent="0.15"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T507" s="3"/>
    </row>
    <row r="508" spans="6:20" ht="13" x14ac:dyDescent="0.15"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T508" s="3"/>
    </row>
    <row r="509" spans="6:20" ht="13" x14ac:dyDescent="0.15"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T509" s="3"/>
    </row>
    <row r="510" spans="6:20" ht="13" x14ac:dyDescent="0.15"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T510" s="3"/>
    </row>
    <row r="511" spans="6:20" ht="13" x14ac:dyDescent="0.15"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T511" s="3"/>
    </row>
    <row r="512" spans="6:20" ht="13" x14ac:dyDescent="0.15"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T512" s="3"/>
    </row>
    <row r="513" spans="6:20" ht="13" x14ac:dyDescent="0.15"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T513" s="3"/>
    </row>
    <row r="514" spans="6:20" ht="13" x14ac:dyDescent="0.15"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T514" s="3"/>
    </row>
    <row r="515" spans="6:20" ht="13" x14ac:dyDescent="0.15"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T515" s="3"/>
    </row>
    <row r="516" spans="6:20" ht="13" x14ac:dyDescent="0.15"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T516" s="3"/>
    </row>
    <row r="517" spans="6:20" ht="13" x14ac:dyDescent="0.15"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T517" s="3"/>
    </row>
    <row r="518" spans="6:20" ht="13" x14ac:dyDescent="0.15"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T518" s="3"/>
    </row>
    <row r="519" spans="6:20" ht="13" x14ac:dyDescent="0.15"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T519" s="3"/>
    </row>
    <row r="520" spans="6:20" ht="13" x14ac:dyDescent="0.15"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T520" s="3"/>
    </row>
    <row r="521" spans="6:20" ht="13" x14ac:dyDescent="0.15"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T521" s="3"/>
    </row>
    <row r="522" spans="6:20" ht="13" x14ac:dyDescent="0.15"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T522" s="3"/>
    </row>
    <row r="523" spans="6:20" ht="13" x14ac:dyDescent="0.15"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T523" s="3"/>
    </row>
    <row r="524" spans="6:20" ht="13" x14ac:dyDescent="0.15"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T524" s="3"/>
    </row>
    <row r="525" spans="6:20" ht="13" x14ac:dyDescent="0.15"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T525" s="3"/>
    </row>
    <row r="526" spans="6:20" ht="13" x14ac:dyDescent="0.15"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T526" s="3"/>
    </row>
    <row r="527" spans="6:20" ht="13" x14ac:dyDescent="0.15"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T527" s="3"/>
    </row>
    <row r="528" spans="6:20" ht="13" x14ac:dyDescent="0.15"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T528" s="3"/>
    </row>
    <row r="529" spans="6:20" ht="13" x14ac:dyDescent="0.15"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T529" s="3"/>
    </row>
    <row r="530" spans="6:20" ht="13" x14ac:dyDescent="0.15"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T530" s="3"/>
    </row>
    <row r="531" spans="6:20" ht="13" x14ac:dyDescent="0.15"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T531" s="3"/>
    </row>
    <row r="532" spans="6:20" ht="13" x14ac:dyDescent="0.15"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T532" s="3"/>
    </row>
    <row r="533" spans="6:20" ht="13" x14ac:dyDescent="0.15"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T533" s="3"/>
    </row>
    <row r="534" spans="6:20" ht="13" x14ac:dyDescent="0.15"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T534" s="3"/>
    </row>
    <row r="535" spans="6:20" ht="13" x14ac:dyDescent="0.15"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T535" s="3"/>
    </row>
    <row r="536" spans="6:20" ht="13" x14ac:dyDescent="0.15"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T536" s="3"/>
    </row>
    <row r="537" spans="6:20" ht="13" x14ac:dyDescent="0.15"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T537" s="3"/>
    </row>
    <row r="538" spans="6:20" ht="13" x14ac:dyDescent="0.15"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T538" s="3"/>
    </row>
    <row r="539" spans="6:20" ht="13" x14ac:dyDescent="0.15"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T539" s="3"/>
    </row>
    <row r="540" spans="6:20" ht="13" x14ac:dyDescent="0.15"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T540" s="3"/>
    </row>
    <row r="541" spans="6:20" ht="13" x14ac:dyDescent="0.15"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T541" s="3"/>
    </row>
    <row r="542" spans="6:20" ht="13" x14ac:dyDescent="0.15"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T542" s="3"/>
    </row>
    <row r="543" spans="6:20" ht="13" x14ac:dyDescent="0.15"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T543" s="3"/>
    </row>
    <row r="544" spans="6:20" ht="13" x14ac:dyDescent="0.15"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T544" s="3"/>
    </row>
    <row r="545" spans="6:20" ht="13" x14ac:dyDescent="0.15"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T545" s="3"/>
    </row>
    <row r="546" spans="6:20" ht="13" x14ac:dyDescent="0.15"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T546" s="3"/>
    </row>
    <row r="547" spans="6:20" ht="13" x14ac:dyDescent="0.15"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T547" s="3"/>
    </row>
    <row r="548" spans="6:20" ht="13" x14ac:dyDescent="0.15"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T548" s="3"/>
    </row>
    <row r="549" spans="6:20" ht="13" x14ac:dyDescent="0.15"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T549" s="3"/>
    </row>
    <row r="550" spans="6:20" ht="13" x14ac:dyDescent="0.15"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T550" s="3"/>
    </row>
    <row r="551" spans="6:20" ht="13" x14ac:dyDescent="0.15"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T551" s="3"/>
    </row>
    <row r="552" spans="6:20" ht="13" x14ac:dyDescent="0.15"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T552" s="3"/>
    </row>
    <row r="553" spans="6:20" ht="13" x14ac:dyDescent="0.15"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T553" s="3"/>
    </row>
    <row r="554" spans="6:20" ht="13" x14ac:dyDescent="0.15"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T554" s="3"/>
    </row>
    <row r="555" spans="6:20" ht="13" x14ac:dyDescent="0.15"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T555" s="3"/>
    </row>
    <row r="556" spans="6:20" ht="13" x14ac:dyDescent="0.15"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T556" s="3"/>
    </row>
    <row r="557" spans="6:20" ht="13" x14ac:dyDescent="0.15"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T557" s="3"/>
    </row>
    <row r="558" spans="6:20" ht="13" x14ac:dyDescent="0.15"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T558" s="3"/>
    </row>
    <row r="559" spans="6:20" ht="13" x14ac:dyDescent="0.15"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T559" s="3"/>
    </row>
    <row r="560" spans="6:20" ht="13" x14ac:dyDescent="0.15"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T560" s="3"/>
    </row>
    <row r="561" spans="6:20" ht="13" x14ac:dyDescent="0.15"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T561" s="3"/>
    </row>
    <row r="562" spans="6:20" ht="13" x14ac:dyDescent="0.15"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T562" s="3"/>
    </row>
    <row r="563" spans="6:20" ht="13" x14ac:dyDescent="0.15"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T563" s="3"/>
    </row>
    <row r="564" spans="6:20" ht="13" x14ac:dyDescent="0.15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T564" s="3"/>
    </row>
    <row r="565" spans="6:20" ht="13" x14ac:dyDescent="0.15"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T565" s="3"/>
    </row>
    <row r="566" spans="6:20" ht="13" x14ac:dyDescent="0.15"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T566" s="3"/>
    </row>
    <row r="567" spans="6:20" ht="13" x14ac:dyDescent="0.15"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T567" s="3"/>
    </row>
    <row r="568" spans="6:20" ht="13" x14ac:dyDescent="0.15"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T568" s="3"/>
    </row>
    <row r="569" spans="6:20" ht="13" x14ac:dyDescent="0.15"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T569" s="3"/>
    </row>
    <row r="570" spans="6:20" ht="13" x14ac:dyDescent="0.15"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T570" s="3"/>
    </row>
    <row r="571" spans="6:20" ht="13" x14ac:dyDescent="0.15"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T571" s="3"/>
    </row>
    <row r="572" spans="6:20" ht="13" x14ac:dyDescent="0.15"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T572" s="3"/>
    </row>
    <row r="573" spans="6:20" ht="13" x14ac:dyDescent="0.15"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T573" s="3"/>
    </row>
    <row r="574" spans="6:20" ht="13" x14ac:dyDescent="0.15"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T574" s="3"/>
    </row>
    <row r="575" spans="6:20" ht="13" x14ac:dyDescent="0.15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T575" s="3"/>
    </row>
    <row r="576" spans="6:20" ht="13" x14ac:dyDescent="0.15"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T576" s="3"/>
    </row>
    <row r="577" spans="6:20" ht="13" x14ac:dyDescent="0.15"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T577" s="3"/>
    </row>
    <row r="578" spans="6:20" ht="13" x14ac:dyDescent="0.15"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T578" s="3"/>
    </row>
    <row r="579" spans="6:20" ht="13" x14ac:dyDescent="0.15"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T579" s="3"/>
    </row>
    <row r="580" spans="6:20" ht="13" x14ac:dyDescent="0.15"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T580" s="3"/>
    </row>
    <row r="581" spans="6:20" ht="13" x14ac:dyDescent="0.15"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T581" s="3"/>
    </row>
    <row r="582" spans="6:20" ht="13" x14ac:dyDescent="0.15"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T582" s="3"/>
    </row>
    <row r="583" spans="6:20" ht="13" x14ac:dyDescent="0.15"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T583" s="3"/>
    </row>
    <row r="584" spans="6:20" ht="13" x14ac:dyDescent="0.15"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T584" s="3"/>
    </row>
    <row r="585" spans="6:20" ht="13" x14ac:dyDescent="0.15"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T585" s="3"/>
    </row>
    <row r="586" spans="6:20" ht="13" x14ac:dyDescent="0.15"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T586" s="3"/>
    </row>
    <row r="587" spans="6:20" ht="13" x14ac:dyDescent="0.15"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T587" s="3"/>
    </row>
    <row r="588" spans="6:20" ht="13" x14ac:dyDescent="0.15"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T588" s="3"/>
    </row>
    <row r="589" spans="6:20" ht="13" x14ac:dyDescent="0.15"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T589" s="3"/>
    </row>
    <row r="590" spans="6:20" ht="13" x14ac:dyDescent="0.15"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T590" s="3"/>
    </row>
    <row r="591" spans="6:20" ht="13" x14ac:dyDescent="0.15"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T591" s="3"/>
    </row>
    <row r="592" spans="6:20" ht="13" x14ac:dyDescent="0.15"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T592" s="3"/>
    </row>
    <row r="593" spans="6:20" ht="13" x14ac:dyDescent="0.15"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T593" s="3"/>
    </row>
    <row r="594" spans="6:20" ht="13" x14ac:dyDescent="0.15"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T594" s="3"/>
    </row>
    <row r="595" spans="6:20" ht="13" x14ac:dyDescent="0.15"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T595" s="3"/>
    </row>
    <row r="596" spans="6:20" ht="13" x14ac:dyDescent="0.15"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T596" s="3"/>
    </row>
    <row r="597" spans="6:20" ht="13" x14ac:dyDescent="0.15"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T597" s="3"/>
    </row>
    <row r="598" spans="6:20" ht="13" x14ac:dyDescent="0.15"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T598" s="3"/>
    </row>
    <row r="599" spans="6:20" ht="13" x14ac:dyDescent="0.15"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T599" s="3"/>
    </row>
    <row r="600" spans="6:20" ht="13" x14ac:dyDescent="0.15"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T600" s="3"/>
    </row>
    <row r="601" spans="6:20" ht="13" x14ac:dyDescent="0.15"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T601" s="3"/>
    </row>
    <row r="602" spans="6:20" ht="13" x14ac:dyDescent="0.15"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T602" s="3"/>
    </row>
    <row r="603" spans="6:20" ht="13" x14ac:dyDescent="0.15"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T603" s="3"/>
    </row>
    <row r="604" spans="6:20" ht="13" x14ac:dyDescent="0.15"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T604" s="3"/>
    </row>
    <row r="605" spans="6:20" ht="13" x14ac:dyDescent="0.15"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T605" s="3"/>
    </row>
    <row r="606" spans="6:20" ht="13" x14ac:dyDescent="0.15"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T606" s="3"/>
    </row>
    <row r="607" spans="6:20" ht="13" x14ac:dyDescent="0.15"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T607" s="3"/>
    </row>
    <row r="608" spans="6:20" ht="13" x14ac:dyDescent="0.15"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T608" s="3"/>
    </row>
    <row r="609" spans="6:20" ht="13" x14ac:dyDescent="0.15"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T609" s="3"/>
    </row>
    <row r="610" spans="6:20" ht="13" x14ac:dyDescent="0.15"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T610" s="3"/>
    </row>
    <row r="611" spans="6:20" ht="13" x14ac:dyDescent="0.15"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T611" s="3"/>
    </row>
    <row r="612" spans="6:20" ht="13" x14ac:dyDescent="0.15"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T612" s="3"/>
    </row>
    <row r="613" spans="6:20" ht="13" x14ac:dyDescent="0.15"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T613" s="3"/>
    </row>
    <row r="614" spans="6:20" ht="13" x14ac:dyDescent="0.15"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T614" s="3"/>
    </row>
    <row r="615" spans="6:20" ht="13" x14ac:dyDescent="0.15"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T615" s="3"/>
    </row>
    <row r="616" spans="6:20" ht="13" x14ac:dyDescent="0.15"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T616" s="3"/>
    </row>
    <row r="617" spans="6:20" ht="13" x14ac:dyDescent="0.15"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T617" s="3"/>
    </row>
    <row r="618" spans="6:20" ht="13" x14ac:dyDescent="0.15"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T618" s="3"/>
    </row>
    <row r="619" spans="6:20" ht="13" x14ac:dyDescent="0.15"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T619" s="3"/>
    </row>
    <row r="620" spans="6:20" ht="13" x14ac:dyDescent="0.15"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T620" s="3"/>
    </row>
    <row r="621" spans="6:20" ht="13" x14ac:dyDescent="0.15"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T621" s="3"/>
    </row>
    <row r="622" spans="6:20" ht="13" x14ac:dyDescent="0.15"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T622" s="3"/>
    </row>
    <row r="623" spans="6:20" ht="13" x14ac:dyDescent="0.15"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T623" s="3"/>
    </row>
    <row r="624" spans="6:20" ht="13" x14ac:dyDescent="0.15"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T624" s="3"/>
    </row>
    <row r="625" spans="6:20" ht="13" x14ac:dyDescent="0.15"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T625" s="3"/>
    </row>
    <row r="626" spans="6:20" ht="13" x14ac:dyDescent="0.15"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T626" s="3"/>
    </row>
    <row r="627" spans="6:20" ht="13" x14ac:dyDescent="0.15"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T627" s="3"/>
    </row>
    <row r="628" spans="6:20" ht="13" x14ac:dyDescent="0.15"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T628" s="3"/>
    </row>
    <row r="629" spans="6:20" ht="13" x14ac:dyDescent="0.15"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T629" s="3"/>
    </row>
    <row r="630" spans="6:20" ht="13" x14ac:dyDescent="0.15"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T630" s="3"/>
    </row>
    <row r="631" spans="6:20" ht="13" x14ac:dyDescent="0.15"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T631" s="3"/>
    </row>
    <row r="632" spans="6:20" ht="13" x14ac:dyDescent="0.15"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T632" s="3"/>
    </row>
    <row r="633" spans="6:20" ht="13" x14ac:dyDescent="0.15"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T633" s="3"/>
    </row>
    <row r="634" spans="6:20" ht="13" x14ac:dyDescent="0.15"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T634" s="3"/>
    </row>
    <row r="635" spans="6:20" ht="13" x14ac:dyDescent="0.15"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T635" s="3"/>
    </row>
    <row r="636" spans="6:20" ht="13" x14ac:dyDescent="0.15"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T636" s="3"/>
    </row>
    <row r="637" spans="6:20" ht="13" x14ac:dyDescent="0.15"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T637" s="3"/>
    </row>
    <row r="638" spans="6:20" ht="13" x14ac:dyDescent="0.15"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T638" s="3"/>
    </row>
    <row r="639" spans="6:20" ht="13" x14ac:dyDescent="0.15"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T639" s="3"/>
    </row>
    <row r="640" spans="6:20" ht="13" x14ac:dyDescent="0.15"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T640" s="3"/>
    </row>
    <row r="641" spans="6:20" ht="13" x14ac:dyDescent="0.15"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T641" s="3"/>
    </row>
    <row r="642" spans="6:20" ht="13" x14ac:dyDescent="0.15"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T642" s="3"/>
    </row>
    <row r="643" spans="6:20" ht="13" x14ac:dyDescent="0.15"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T643" s="3"/>
    </row>
    <row r="644" spans="6:20" ht="13" x14ac:dyDescent="0.15"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T644" s="3"/>
    </row>
    <row r="645" spans="6:20" ht="13" x14ac:dyDescent="0.15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T645" s="3"/>
    </row>
    <row r="646" spans="6:20" ht="13" x14ac:dyDescent="0.15"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T646" s="3"/>
    </row>
    <row r="647" spans="6:20" ht="13" x14ac:dyDescent="0.15"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T647" s="3"/>
    </row>
    <row r="648" spans="6:20" ht="13" x14ac:dyDescent="0.15"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T648" s="3"/>
    </row>
    <row r="649" spans="6:20" ht="13" x14ac:dyDescent="0.15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T649" s="3"/>
    </row>
    <row r="650" spans="6:20" ht="13" x14ac:dyDescent="0.15"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T650" s="3"/>
    </row>
    <row r="651" spans="6:20" ht="13" x14ac:dyDescent="0.15"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T651" s="3"/>
    </row>
    <row r="652" spans="6:20" ht="13" x14ac:dyDescent="0.15"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T652" s="3"/>
    </row>
    <row r="653" spans="6:20" ht="13" x14ac:dyDescent="0.15"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T653" s="3"/>
    </row>
    <row r="654" spans="6:20" ht="13" x14ac:dyDescent="0.15"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T654" s="3"/>
    </row>
    <row r="655" spans="6:20" ht="13" x14ac:dyDescent="0.15"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T655" s="3"/>
    </row>
    <row r="656" spans="6:20" ht="13" x14ac:dyDescent="0.15"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T656" s="3"/>
    </row>
    <row r="657" spans="6:20" ht="13" x14ac:dyDescent="0.15"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T657" s="3"/>
    </row>
    <row r="658" spans="6:20" ht="13" x14ac:dyDescent="0.15"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T658" s="3"/>
    </row>
    <row r="659" spans="6:20" ht="13" x14ac:dyDescent="0.15"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T659" s="3"/>
    </row>
    <row r="660" spans="6:20" ht="13" x14ac:dyDescent="0.15"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T660" s="3"/>
    </row>
    <row r="661" spans="6:20" ht="13" x14ac:dyDescent="0.15"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T661" s="3"/>
    </row>
    <row r="662" spans="6:20" ht="13" x14ac:dyDescent="0.15"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T662" s="3"/>
    </row>
    <row r="663" spans="6:20" ht="13" x14ac:dyDescent="0.15"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T663" s="3"/>
    </row>
    <row r="664" spans="6:20" ht="13" x14ac:dyDescent="0.15"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T664" s="3"/>
    </row>
    <row r="665" spans="6:20" ht="13" x14ac:dyDescent="0.15"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T665" s="3"/>
    </row>
    <row r="666" spans="6:20" ht="13" x14ac:dyDescent="0.15"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T666" s="3"/>
    </row>
    <row r="667" spans="6:20" ht="13" x14ac:dyDescent="0.15"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T667" s="3"/>
    </row>
    <row r="668" spans="6:20" ht="13" x14ac:dyDescent="0.15"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T668" s="3"/>
    </row>
    <row r="669" spans="6:20" ht="13" x14ac:dyDescent="0.15"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T669" s="3"/>
    </row>
    <row r="670" spans="6:20" ht="13" x14ac:dyDescent="0.15"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T670" s="3"/>
    </row>
    <row r="671" spans="6:20" ht="13" x14ac:dyDescent="0.15"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T671" s="3"/>
    </row>
    <row r="672" spans="6:20" ht="13" x14ac:dyDescent="0.15"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T672" s="3"/>
    </row>
    <row r="673" spans="6:20" ht="13" x14ac:dyDescent="0.15"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T673" s="3"/>
    </row>
    <row r="674" spans="6:20" ht="13" x14ac:dyDescent="0.15"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T674" s="3"/>
    </row>
    <row r="675" spans="6:20" ht="13" x14ac:dyDescent="0.15"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T675" s="3"/>
    </row>
    <row r="676" spans="6:20" ht="13" x14ac:dyDescent="0.15"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T676" s="3"/>
    </row>
    <row r="677" spans="6:20" ht="13" x14ac:dyDescent="0.15"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T677" s="3"/>
    </row>
    <row r="678" spans="6:20" ht="13" x14ac:dyDescent="0.15"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T678" s="3"/>
    </row>
    <row r="679" spans="6:20" ht="13" x14ac:dyDescent="0.15"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T679" s="3"/>
    </row>
    <row r="680" spans="6:20" ht="13" x14ac:dyDescent="0.15"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T680" s="3"/>
    </row>
    <row r="681" spans="6:20" ht="13" x14ac:dyDescent="0.15"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T681" s="3"/>
    </row>
    <row r="682" spans="6:20" ht="13" x14ac:dyDescent="0.15"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T682" s="3"/>
    </row>
    <row r="683" spans="6:20" ht="13" x14ac:dyDescent="0.15"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T683" s="3"/>
    </row>
    <row r="684" spans="6:20" ht="13" x14ac:dyDescent="0.15"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T684" s="3"/>
    </row>
    <row r="685" spans="6:20" ht="13" x14ac:dyDescent="0.15"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T685" s="3"/>
    </row>
    <row r="686" spans="6:20" ht="13" x14ac:dyDescent="0.15"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T686" s="3"/>
    </row>
    <row r="687" spans="6:20" ht="13" x14ac:dyDescent="0.15"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T687" s="3"/>
    </row>
    <row r="688" spans="6:20" ht="13" x14ac:dyDescent="0.15"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T688" s="3"/>
    </row>
    <row r="689" spans="6:20" ht="13" x14ac:dyDescent="0.15"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T689" s="3"/>
    </row>
    <row r="690" spans="6:20" ht="13" x14ac:dyDescent="0.15"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T690" s="3"/>
    </row>
    <row r="691" spans="6:20" ht="13" x14ac:dyDescent="0.15"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T691" s="3"/>
    </row>
    <row r="692" spans="6:20" ht="13" x14ac:dyDescent="0.15"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T692" s="3"/>
    </row>
    <row r="693" spans="6:20" ht="13" x14ac:dyDescent="0.15"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T693" s="3"/>
    </row>
    <row r="694" spans="6:20" ht="13" x14ac:dyDescent="0.15"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T694" s="3"/>
    </row>
    <row r="695" spans="6:20" ht="13" x14ac:dyDescent="0.15"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T695" s="3"/>
    </row>
    <row r="696" spans="6:20" ht="13" x14ac:dyDescent="0.15"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T696" s="3"/>
    </row>
    <row r="697" spans="6:20" ht="13" x14ac:dyDescent="0.15"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T697" s="3"/>
    </row>
    <row r="698" spans="6:20" ht="13" x14ac:dyDescent="0.15"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T698" s="3"/>
    </row>
    <row r="699" spans="6:20" ht="13" x14ac:dyDescent="0.15"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T699" s="3"/>
    </row>
    <row r="700" spans="6:20" ht="13" x14ac:dyDescent="0.15"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T700" s="3"/>
    </row>
    <row r="701" spans="6:20" ht="13" x14ac:dyDescent="0.15"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T701" s="3"/>
    </row>
    <row r="702" spans="6:20" ht="13" x14ac:dyDescent="0.15"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T702" s="3"/>
    </row>
    <row r="703" spans="6:20" ht="13" x14ac:dyDescent="0.15"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T703" s="3"/>
    </row>
    <row r="704" spans="6:20" ht="13" x14ac:dyDescent="0.15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T704" s="3"/>
    </row>
    <row r="705" spans="6:20" ht="13" x14ac:dyDescent="0.15"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T705" s="3"/>
    </row>
    <row r="706" spans="6:20" ht="13" x14ac:dyDescent="0.15"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T706" s="3"/>
    </row>
    <row r="707" spans="6:20" ht="13" x14ac:dyDescent="0.15"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T707" s="3"/>
    </row>
    <row r="708" spans="6:20" ht="13" x14ac:dyDescent="0.15"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T708" s="3"/>
    </row>
    <row r="709" spans="6:20" ht="13" x14ac:dyDescent="0.15"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T709" s="3"/>
    </row>
    <row r="710" spans="6:20" ht="13" x14ac:dyDescent="0.15"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T710" s="3"/>
    </row>
    <row r="711" spans="6:20" ht="13" x14ac:dyDescent="0.15"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T711" s="3"/>
    </row>
    <row r="712" spans="6:20" ht="13" x14ac:dyDescent="0.15"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T712" s="3"/>
    </row>
    <row r="713" spans="6:20" ht="13" x14ac:dyDescent="0.15"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T713" s="3"/>
    </row>
    <row r="714" spans="6:20" ht="13" x14ac:dyDescent="0.15"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T714" s="3"/>
    </row>
    <row r="715" spans="6:20" ht="13" x14ac:dyDescent="0.15"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T715" s="3"/>
    </row>
    <row r="716" spans="6:20" ht="13" x14ac:dyDescent="0.15"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T716" s="3"/>
    </row>
    <row r="717" spans="6:20" ht="13" x14ac:dyDescent="0.15"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T717" s="3"/>
    </row>
    <row r="718" spans="6:20" ht="13" x14ac:dyDescent="0.15"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T718" s="3"/>
    </row>
    <row r="719" spans="6:20" ht="13" x14ac:dyDescent="0.15"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T719" s="3"/>
    </row>
    <row r="720" spans="6:20" ht="13" x14ac:dyDescent="0.15"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T720" s="3"/>
    </row>
    <row r="721" spans="6:20" ht="13" x14ac:dyDescent="0.15"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T721" s="3"/>
    </row>
    <row r="722" spans="6:20" ht="13" x14ac:dyDescent="0.15"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T722" s="3"/>
    </row>
    <row r="723" spans="6:20" ht="13" x14ac:dyDescent="0.15"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T723" s="3"/>
    </row>
    <row r="724" spans="6:20" ht="13" x14ac:dyDescent="0.15"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T724" s="3"/>
    </row>
    <row r="725" spans="6:20" ht="13" x14ac:dyDescent="0.15"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T725" s="3"/>
    </row>
    <row r="726" spans="6:20" ht="13" x14ac:dyDescent="0.15"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T726" s="3"/>
    </row>
    <row r="727" spans="6:20" ht="13" x14ac:dyDescent="0.15"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T727" s="3"/>
    </row>
    <row r="728" spans="6:20" ht="13" x14ac:dyDescent="0.15"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T728" s="3"/>
    </row>
    <row r="729" spans="6:20" ht="13" x14ac:dyDescent="0.15"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T729" s="3"/>
    </row>
    <row r="730" spans="6:20" ht="13" x14ac:dyDescent="0.15"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T730" s="3"/>
    </row>
    <row r="731" spans="6:20" ht="13" x14ac:dyDescent="0.15"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T731" s="3"/>
    </row>
    <row r="732" spans="6:20" ht="13" x14ac:dyDescent="0.15"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T732" s="3"/>
    </row>
    <row r="733" spans="6:20" ht="13" x14ac:dyDescent="0.15"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T733" s="3"/>
    </row>
    <row r="734" spans="6:20" ht="13" x14ac:dyDescent="0.15"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T734" s="3"/>
    </row>
    <row r="735" spans="6:20" ht="13" x14ac:dyDescent="0.15"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T735" s="3"/>
    </row>
    <row r="736" spans="6:20" ht="13" x14ac:dyDescent="0.15"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T736" s="3"/>
    </row>
    <row r="737" spans="6:20" ht="13" x14ac:dyDescent="0.15"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T737" s="3"/>
    </row>
    <row r="738" spans="6:20" ht="13" x14ac:dyDescent="0.15"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T738" s="3"/>
    </row>
    <row r="739" spans="6:20" ht="13" x14ac:dyDescent="0.15"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T739" s="3"/>
    </row>
    <row r="740" spans="6:20" ht="13" x14ac:dyDescent="0.15"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T740" s="3"/>
    </row>
    <row r="741" spans="6:20" ht="13" x14ac:dyDescent="0.15"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T741" s="3"/>
    </row>
    <row r="742" spans="6:20" ht="13" x14ac:dyDescent="0.15"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T742" s="3"/>
    </row>
    <row r="743" spans="6:20" ht="13" x14ac:dyDescent="0.15"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T743" s="3"/>
    </row>
    <row r="744" spans="6:20" ht="13" x14ac:dyDescent="0.15"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T744" s="3"/>
    </row>
    <row r="745" spans="6:20" ht="13" x14ac:dyDescent="0.15"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T745" s="3"/>
    </row>
    <row r="746" spans="6:20" ht="13" x14ac:dyDescent="0.15"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T746" s="3"/>
    </row>
    <row r="747" spans="6:20" ht="13" x14ac:dyDescent="0.15"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T747" s="3"/>
    </row>
    <row r="748" spans="6:20" ht="13" x14ac:dyDescent="0.15"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T748" s="3"/>
    </row>
    <row r="749" spans="6:20" ht="13" x14ac:dyDescent="0.15"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T749" s="3"/>
    </row>
    <row r="750" spans="6:20" ht="13" x14ac:dyDescent="0.15"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T750" s="3"/>
    </row>
    <row r="751" spans="6:20" ht="13" x14ac:dyDescent="0.15"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T751" s="3"/>
    </row>
    <row r="752" spans="6:20" ht="13" x14ac:dyDescent="0.15"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T752" s="3"/>
    </row>
    <row r="753" spans="6:20" ht="13" x14ac:dyDescent="0.15"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T753" s="3"/>
    </row>
    <row r="754" spans="6:20" ht="13" x14ac:dyDescent="0.15"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T754" s="3"/>
    </row>
    <row r="755" spans="6:20" ht="13" x14ac:dyDescent="0.15"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T755" s="3"/>
    </row>
    <row r="756" spans="6:20" ht="13" x14ac:dyDescent="0.15"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T756" s="3"/>
    </row>
    <row r="757" spans="6:20" ht="13" x14ac:dyDescent="0.15"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T757" s="3"/>
    </row>
    <row r="758" spans="6:20" ht="13" x14ac:dyDescent="0.15"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T758" s="3"/>
    </row>
    <row r="759" spans="6:20" ht="13" x14ac:dyDescent="0.15"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T759" s="3"/>
    </row>
    <row r="760" spans="6:20" ht="13" x14ac:dyDescent="0.15"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T760" s="3"/>
    </row>
    <row r="761" spans="6:20" ht="13" x14ac:dyDescent="0.15"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T761" s="3"/>
    </row>
    <row r="762" spans="6:20" ht="13" x14ac:dyDescent="0.15"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T762" s="3"/>
    </row>
    <row r="763" spans="6:20" ht="13" x14ac:dyDescent="0.15"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T763" s="3"/>
    </row>
    <row r="764" spans="6:20" ht="13" x14ac:dyDescent="0.15"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T764" s="3"/>
    </row>
    <row r="765" spans="6:20" ht="13" x14ac:dyDescent="0.15"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T765" s="3"/>
    </row>
    <row r="766" spans="6:20" ht="13" x14ac:dyDescent="0.15"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T766" s="3"/>
    </row>
    <row r="767" spans="6:20" ht="13" x14ac:dyDescent="0.15"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T767" s="3"/>
    </row>
    <row r="768" spans="6:20" ht="13" x14ac:dyDescent="0.15"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T768" s="3"/>
    </row>
    <row r="769" spans="6:20" ht="13" x14ac:dyDescent="0.15"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T769" s="3"/>
    </row>
    <row r="770" spans="6:20" ht="13" x14ac:dyDescent="0.15"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T770" s="3"/>
    </row>
    <row r="771" spans="6:20" ht="13" x14ac:dyDescent="0.15"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T771" s="3"/>
    </row>
    <row r="772" spans="6:20" ht="13" x14ac:dyDescent="0.15"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T772" s="3"/>
    </row>
    <row r="773" spans="6:20" ht="13" x14ac:dyDescent="0.15"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T773" s="3"/>
    </row>
    <row r="774" spans="6:20" ht="13" x14ac:dyDescent="0.15"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T774" s="3"/>
    </row>
    <row r="775" spans="6:20" ht="13" x14ac:dyDescent="0.15"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T775" s="3"/>
    </row>
    <row r="776" spans="6:20" ht="13" x14ac:dyDescent="0.15"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T776" s="3"/>
    </row>
    <row r="777" spans="6:20" ht="13" x14ac:dyDescent="0.15"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T777" s="3"/>
    </row>
    <row r="778" spans="6:20" ht="13" x14ac:dyDescent="0.15"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T778" s="3"/>
    </row>
    <row r="779" spans="6:20" ht="13" x14ac:dyDescent="0.15"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T779" s="3"/>
    </row>
    <row r="780" spans="6:20" ht="13" x14ac:dyDescent="0.15"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T780" s="3"/>
    </row>
    <row r="781" spans="6:20" ht="13" x14ac:dyDescent="0.15"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T781" s="3"/>
    </row>
    <row r="782" spans="6:20" ht="13" x14ac:dyDescent="0.15"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T782" s="3"/>
    </row>
    <row r="783" spans="6:20" ht="13" x14ac:dyDescent="0.15"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T783" s="3"/>
    </row>
    <row r="784" spans="6:20" ht="13" x14ac:dyDescent="0.15"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T784" s="3"/>
    </row>
    <row r="785" spans="6:20" ht="13" x14ac:dyDescent="0.15"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T785" s="3"/>
    </row>
    <row r="786" spans="6:20" ht="13" x14ac:dyDescent="0.15"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T786" s="3"/>
    </row>
    <row r="787" spans="6:20" ht="13" x14ac:dyDescent="0.15"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T787" s="3"/>
    </row>
    <row r="788" spans="6:20" ht="13" x14ac:dyDescent="0.15"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T788" s="3"/>
    </row>
    <row r="789" spans="6:20" ht="13" x14ac:dyDescent="0.15"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T789" s="3"/>
    </row>
    <row r="790" spans="6:20" ht="13" x14ac:dyDescent="0.15"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T790" s="3"/>
    </row>
    <row r="791" spans="6:20" ht="13" x14ac:dyDescent="0.15"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T791" s="3"/>
    </row>
    <row r="792" spans="6:20" ht="13" x14ac:dyDescent="0.15"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T792" s="3"/>
    </row>
    <row r="793" spans="6:20" ht="13" x14ac:dyDescent="0.15"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T793" s="3"/>
    </row>
    <row r="794" spans="6:20" ht="13" x14ac:dyDescent="0.15"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T794" s="3"/>
    </row>
    <row r="795" spans="6:20" ht="13" x14ac:dyDescent="0.15"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T795" s="3"/>
    </row>
    <row r="796" spans="6:20" ht="13" x14ac:dyDescent="0.15"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T796" s="3"/>
    </row>
    <row r="797" spans="6:20" ht="13" x14ac:dyDescent="0.15"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T797" s="3"/>
    </row>
    <row r="798" spans="6:20" ht="13" x14ac:dyDescent="0.15"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T798" s="3"/>
    </row>
    <row r="799" spans="6:20" ht="13" x14ac:dyDescent="0.15"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T799" s="3"/>
    </row>
    <row r="800" spans="6:20" ht="13" x14ac:dyDescent="0.15"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T800" s="3"/>
    </row>
    <row r="801" spans="6:20" ht="13" x14ac:dyDescent="0.15"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T801" s="3"/>
    </row>
    <row r="802" spans="6:20" ht="13" x14ac:dyDescent="0.15"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T802" s="3"/>
    </row>
    <row r="803" spans="6:20" ht="13" x14ac:dyDescent="0.15"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T803" s="3"/>
    </row>
    <row r="804" spans="6:20" ht="13" x14ac:dyDescent="0.15"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T804" s="3"/>
    </row>
    <row r="805" spans="6:20" ht="13" x14ac:dyDescent="0.15"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T805" s="3"/>
    </row>
    <row r="806" spans="6:20" ht="13" x14ac:dyDescent="0.15"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T806" s="3"/>
    </row>
    <row r="807" spans="6:20" ht="13" x14ac:dyDescent="0.15"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T807" s="3"/>
    </row>
    <row r="808" spans="6:20" ht="13" x14ac:dyDescent="0.15"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T808" s="3"/>
    </row>
    <row r="809" spans="6:20" ht="13" x14ac:dyDescent="0.15"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T809" s="3"/>
    </row>
    <row r="810" spans="6:20" ht="13" x14ac:dyDescent="0.15"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T810" s="3"/>
    </row>
    <row r="811" spans="6:20" ht="13" x14ac:dyDescent="0.15"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T811" s="3"/>
    </row>
    <row r="812" spans="6:20" ht="13" x14ac:dyDescent="0.15"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T812" s="3"/>
    </row>
    <row r="813" spans="6:20" ht="13" x14ac:dyDescent="0.15"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T813" s="3"/>
    </row>
    <row r="814" spans="6:20" ht="13" x14ac:dyDescent="0.15"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T814" s="3"/>
    </row>
    <row r="815" spans="6:20" ht="13" x14ac:dyDescent="0.15"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T815" s="3"/>
    </row>
    <row r="816" spans="6:20" ht="13" x14ac:dyDescent="0.15"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T816" s="3"/>
    </row>
    <row r="817" spans="6:20" ht="13" x14ac:dyDescent="0.15"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T817" s="3"/>
    </row>
    <row r="818" spans="6:20" ht="13" x14ac:dyDescent="0.15"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T818" s="3"/>
    </row>
    <row r="819" spans="6:20" ht="13" x14ac:dyDescent="0.15"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T819" s="3"/>
    </row>
    <row r="820" spans="6:20" ht="13" x14ac:dyDescent="0.15"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T820" s="3"/>
    </row>
    <row r="821" spans="6:20" ht="13" x14ac:dyDescent="0.15"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T821" s="3"/>
    </row>
    <row r="822" spans="6:20" ht="13" x14ac:dyDescent="0.15"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T822" s="3"/>
    </row>
    <row r="823" spans="6:20" ht="13" x14ac:dyDescent="0.15"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T823" s="3"/>
    </row>
    <row r="824" spans="6:20" ht="13" x14ac:dyDescent="0.15"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T824" s="3"/>
    </row>
    <row r="825" spans="6:20" ht="13" x14ac:dyDescent="0.15"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T825" s="3"/>
    </row>
    <row r="826" spans="6:20" ht="13" x14ac:dyDescent="0.15"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T826" s="3"/>
    </row>
    <row r="827" spans="6:20" ht="13" x14ac:dyDescent="0.15"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T827" s="3"/>
    </row>
    <row r="828" spans="6:20" ht="13" x14ac:dyDescent="0.15"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T828" s="3"/>
    </row>
    <row r="829" spans="6:20" ht="13" x14ac:dyDescent="0.15"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T829" s="3"/>
    </row>
    <row r="830" spans="6:20" ht="13" x14ac:dyDescent="0.15"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T830" s="3"/>
    </row>
    <row r="831" spans="6:20" ht="13" x14ac:dyDescent="0.15"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T831" s="3"/>
    </row>
    <row r="832" spans="6:20" ht="13" x14ac:dyDescent="0.15"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T832" s="3"/>
    </row>
    <row r="833" spans="6:20" ht="13" x14ac:dyDescent="0.15"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T833" s="3"/>
    </row>
    <row r="834" spans="6:20" ht="13" x14ac:dyDescent="0.15"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T834" s="3"/>
    </row>
    <row r="835" spans="6:20" ht="13" x14ac:dyDescent="0.15"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T835" s="3"/>
    </row>
    <row r="836" spans="6:20" ht="13" x14ac:dyDescent="0.15"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T836" s="3"/>
    </row>
    <row r="837" spans="6:20" ht="13" x14ac:dyDescent="0.15"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T837" s="3"/>
    </row>
    <row r="838" spans="6:20" ht="13" x14ac:dyDescent="0.15"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T838" s="3"/>
    </row>
    <row r="839" spans="6:20" ht="13" x14ac:dyDescent="0.15"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T839" s="3"/>
    </row>
    <row r="840" spans="6:20" ht="13" x14ac:dyDescent="0.15"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T840" s="3"/>
    </row>
    <row r="841" spans="6:20" ht="13" x14ac:dyDescent="0.15"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T841" s="3"/>
    </row>
    <row r="842" spans="6:20" ht="13" x14ac:dyDescent="0.15"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T842" s="3"/>
    </row>
    <row r="843" spans="6:20" ht="13" x14ac:dyDescent="0.15"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T843" s="3"/>
    </row>
    <row r="844" spans="6:20" ht="13" x14ac:dyDescent="0.15"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T844" s="3"/>
    </row>
    <row r="845" spans="6:20" ht="13" x14ac:dyDescent="0.15"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T845" s="3"/>
    </row>
    <row r="846" spans="6:20" ht="13" x14ac:dyDescent="0.15"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T846" s="3"/>
    </row>
    <row r="847" spans="6:20" ht="13" x14ac:dyDescent="0.15"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T847" s="3"/>
    </row>
    <row r="848" spans="6:20" ht="13" x14ac:dyDescent="0.15"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T848" s="3"/>
    </row>
    <row r="849" spans="6:20" ht="13" x14ac:dyDescent="0.15"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T849" s="3"/>
    </row>
    <row r="850" spans="6:20" ht="13" x14ac:dyDescent="0.15"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T850" s="3"/>
    </row>
    <row r="851" spans="6:20" ht="13" x14ac:dyDescent="0.15"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T851" s="3"/>
    </row>
    <row r="852" spans="6:20" ht="13" x14ac:dyDescent="0.15"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T852" s="3"/>
    </row>
    <row r="853" spans="6:20" ht="13" x14ac:dyDescent="0.15"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T853" s="3"/>
    </row>
    <row r="854" spans="6:20" ht="13" x14ac:dyDescent="0.15"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T854" s="3"/>
    </row>
    <row r="855" spans="6:20" ht="13" x14ac:dyDescent="0.15"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T855" s="3"/>
    </row>
    <row r="856" spans="6:20" ht="13" x14ac:dyDescent="0.15"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T856" s="3"/>
    </row>
    <row r="857" spans="6:20" ht="13" x14ac:dyDescent="0.15"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T857" s="3"/>
    </row>
    <row r="858" spans="6:20" ht="13" x14ac:dyDescent="0.15"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T858" s="3"/>
    </row>
    <row r="859" spans="6:20" ht="13" x14ac:dyDescent="0.15"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T859" s="3"/>
    </row>
    <row r="860" spans="6:20" ht="13" x14ac:dyDescent="0.15"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T860" s="3"/>
    </row>
    <row r="861" spans="6:20" ht="13" x14ac:dyDescent="0.15"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T861" s="3"/>
    </row>
    <row r="862" spans="6:20" ht="13" x14ac:dyDescent="0.15"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T862" s="3"/>
    </row>
    <row r="863" spans="6:20" ht="13" x14ac:dyDescent="0.15"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T863" s="3"/>
    </row>
    <row r="864" spans="6:20" ht="13" x14ac:dyDescent="0.15"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T864" s="3"/>
    </row>
    <row r="865" spans="6:20" ht="13" x14ac:dyDescent="0.15"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T865" s="3"/>
    </row>
    <row r="866" spans="6:20" ht="13" x14ac:dyDescent="0.15"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T866" s="3"/>
    </row>
    <row r="867" spans="6:20" ht="13" x14ac:dyDescent="0.15"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T867" s="3"/>
    </row>
    <row r="868" spans="6:20" ht="13" x14ac:dyDescent="0.15"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T868" s="3"/>
    </row>
    <row r="869" spans="6:20" ht="13" x14ac:dyDescent="0.15"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T869" s="3"/>
    </row>
    <row r="870" spans="6:20" ht="13" x14ac:dyDescent="0.15"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T870" s="3"/>
    </row>
    <row r="871" spans="6:20" ht="13" x14ac:dyDescent="0.15"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T871" s="3"/>
    </row>
    <row r="872" spans="6:20" ht="13" x14ac:dyDescent="0.15"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T872" s="3"/>
    </row>
    <row r="873" spans="6:20" ht="13" x14ac:dyDescent="0.15"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T873" s="3"/>
    </row>
    <row r="874" spans="6:20" ht="13" x14ac:dyDescent="0.15"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T874" s="3"/>
    </row>
    <row r="875" spans="6:20" ht="13" x14ac:dyDescent="0.15"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T875" s="3"/>
    </row>
    <row r="876" spans="6:20" ht="13" x14ac:dyDescent="0.15"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T876" s="3"/>
    </row>
    <row r="877" spans="6:20" ht="13" x14ac:dyDescent="0.15"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T877" s="3"/>
    </row>
    <row r="878" spans="6:20" ht="13" x14ac:dyDescent="0.15"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T878" s="3"/>
    </row>
    <row r="879" spans="6:20" ht="13" x14ac:dyDescent="0.15"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T879" s="3"/>
    </row>
    <row r="880" spans="6:20" ht="13" x14ac:dyDescent="0.15"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T880" s="3"/>
    </row>
    <row r="881" spans="6:20" ht="13" x14ac:dyDescent="0.15"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T881" s="3"/>
    </row>
    <row r="882" spans="6:20" ht="13" x14ac:dyDescent="0.15"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T882" s="3"/>
    </row>
    <row r="883" spans="6:20" ht="13" x14ac:dyDescent="0.15"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T883" s="3"/>
    </row>
    <row r="884" spans="6:20" ht="13" x14ac:dyDescent="0.15"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T884" s="3"/>
    </row>
    <row r="885" spans="6:20" ht="13" x14ac:dyDescent="0.15"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T885" s="3"/>
    </row>
    <row r="886" spans="6:20" ht="13" x14ac:dyDescent="0.15"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T886" s="3"/>
    </row>
    <row r="887" spans="6:20" ht="13" x14ac:dyDescent="0.15"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T887" s="3"/>
    </row>
    <row r="888" spans="6:20" ht="13" x14ac:dyDescent="0.15"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T888" s="3"/>
    </row>
    <row r="889" spans="6:20" ht="13" x14ac:dyDescent="0.15"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T889" s="3"/>
    </row>
    <row r="890" spans="6:20" ht="13" x14ac:dyDescent="0.15"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T890" s="3"/>
    </row>
    <row r="891" spans="6:20" ht="13" x14ac:dyDescent="0.15"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T891" s="3"/>
    </row>
    <row r="892" spans="6:20" ht="13" x14ac:dyDescent="0.15"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T892" s="3"/>
    </row>
    <row r="893" spans="6:20" ht="13" x14ac:dyDescent="0.15"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T893" s="3"/>
    </row>
    <row r="894" spans="6:20" ht="13" x14ac:dyDescent="0.15"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T894" s="3"/>
    </row>
    <row r="895" spans="6:20" ht="13" x14ac:dyDescent="0.15"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T895" s="3"/>
    </row>
    <row r="896" spans="6:20" ht="13" x14ac:dyDescent="0.15"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T896" s="3"/>
    </row>
    <row r="897" spans="6:20" ht="13" x14ac:dyDescent="0.15"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T897" s="3"/>
    </row>
    <row r="898" spans="6:20" ht="13" x14ac:dyDescent="0.15"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T898" s="3"/>
    </row>
    <row r="899" spans="6:20" ht="13" x14ac:dyDescent="0.15"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T899" s="3"/>
    </row>
    <row r="900" spans="6:20" ht="13" x14ac:dyDescent="0.15"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T900" s="3"/>
    </row>
    <row r="901" spans="6:20" ht="13" x14ac:dyDescent="0.15"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T901" s="3"/>
    </row>
    <row r="902" spans="6:20" ht="13" x14ac:dyDescent="0.15"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T902" s="3"/>
    </row>
    <row r="903" spans="6:20" ht="13" x14ac:dyDescent="0.15"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T903" s="3"/>
    </row>
    <row r="904" spans="6:20" ht="13" x14ac:dyDescent="0.15"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T904" s="3"/>
    </row>
    <row r="905" spans="6:20" ht="13" x14ac:dyDescent="0.15"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T905" s="3"/>
    </row>
    <row r="906" spans="6:20" ht="13" x14ac:dyDescent="0.15"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T906" s="3"/>
    </row>
    <row r="907" spans="6:20" ht="13" x14ac:dyDescent="0.15"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T907" s="3"/>
    </row>
    <row r="908" spans="6:20" ht="13" x14ac:dyDescent="0.15"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T908" s="3"/>
    </row>
    <row r="909" spans="6:20" ht="13" x14ac:dyDescent="0.15"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T909" s="3"/>
    </row>
    <row r="910" spans="6:20" ht="13" x14ac:dyDescent="0.15"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T910" s="3"/>
    </row>
    <row r="911" spans="6:20" ht="13" x14ac:dyDescent="0.15"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T911" s="3"/>
    </row>
    <row r="912" spans="6:20" ht="13" x14ac:dyDescent="0.15"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T912" s="3"/>
    </row>
    <row r="913" spans="6:20" ht="13" x14ac:dyDescent="0.15"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T913" s="3"/>
    </row>
    <row r="914" spans="6:20" ht="13" x14ac:dyDescent="0.15"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T914" s="3"/>
    </row>
    <row r="915" spans="6:20" ht="13" x14ac:dyDescent="0.15"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T915" s="3"/>
    </row>
    <row r="916" spans="6:20" ht="13" x14ac:dyDescent="0.15"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T916" s="3"/>
    </row>
    <row r="917" spans="6:20" ht="13" x14ac:dyDescent="0.15"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T917" s="3"/>
    </row>
    <row r="918" spans="6:20" ht="13" x14ac:dyDescent="0.15"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T918" s="3"/>
    </row>
    <row r="919" spans="6:20" ht="13" x14ac:dyDescent="0.15"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T919" s="3"/>
    </row>
    <row r="920" spans="6:20" ht="13" x14ac:dyDescent="0.15"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T920" s="3"/>
    </row>
    <row r="921" spans="6:20" ht="13" x14ac:dyDescent="0.15"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T921" s="3"/>
    </row>
    <row r="922" spans="6:20" ht="13" x14ac:dyDescent="0.15"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T922" s="3"/>
    </row>
    <row r="923" spans="6:20" ht="13" x14ac:dyDescent="0.15"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T923" s="3"/>
    </row>
    <row r="924" spans="6:20" ht="13" x14ac:dyDescent="0.15"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T924" s="3"/>
    </row>
    <row r="925" spans="6:20" ht="13" x14ac:dyDescent="0.15"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T925" s="3"/>
    </row>
    <row r="926" spans="6:20" ht="13" x14ac:dyDescent="0.15"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T926" s="3"/>
    </row>
    <row r="927" spans="6:20" ht="13" x14ac:dyDescent="0.15"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T927" s="3"/>
    </row>
    <row r="928" spans="6:20" ht="13" x14ac:dyDescent="0.15"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T928" s="3"/>
    </row>
    <row r="929" spans="6:20" ht="13" x14ac:dyDescent="0.15"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T929" s="3"/>
    </row>
    <row r="930" spans="6:20" ht="13" x14ac:dyDescent="0.15"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T930" s="3"/>
    </row>
    <row r="931" spans="6:20" ht="13" x14ac:dyDescent="0.15"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T931" s="3"/>
    </row>
    <row r="932" spans="6:20" ht="13" x14ac:dyDescent="0.15"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T932" s="3"/>
    </row>
    <row r="933" spans="6:20" ht="13" x14ac:dyDescent="0.15"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T933" s="3"/>
    </row>
    <row r="934" spans="6:20" ht="13" x14ac:dyDescent="0.15"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T934" s="3"/>
    </row>
    <row r="935" spans="6:20" ht="13" x14ac:dyDescent="0.15"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T935" s="3"/>
    </row>
    <row r="936" spans="6:20" ht="13" x14ac:dyDescent="0.15"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T936" s="3"/>
    </row>
    <row r="937" spans="6:20" ht="13" x14ac:dyDescent="0.15"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T937" s="3"/>
    </row>
    <row r="938" spans="6:20" ht="13" x14ac:dyDescent="0.15"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T938" s="3"/>
    </row>
    <row r="939" spans="6:20" ht="13" x14ac:dyDescent="0.15"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T939" s="3"/>
    </row>
    <row r="940" spans="6:20" ht="13" x14ac:dyDescent="0.15"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T940" s="3"/>
    </row>
    <row r="941" spans="6:20" ht="13" x14ac:dyDescent="0.15"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T941" s="3"/>
    </row>
    <row r="942" spans="6:20" ht="13" x14ac:dyDescent="0.15"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T942" s="3"/>
    </row>
    <row r="943" spans="6:20" ht="13" x14ac:dyDescent="0.15"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T943" s="3"/>
    </row>
    <row r="944" spans="6:20" ht="13" x14ac:dyDescent="0.15"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T944" s="3"/>
    </row>
    <row r="945" spans="6:20" ht="13" x14ac:dyDescent="0.15"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T945" s="3"/>
    </row>
    <row r="946" spans="6:20" ht="13" x14ac:dyDescent="0.15"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T946" s="3"/>
    </row>
    <row r="947" spans="6:20" ht="13" x14ac:dyDescent="0.15"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T947" s="3"/>
    </row>
    <row r="948" spans="6:20" ht="13" x14ac:dyDescent="0.15"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T948" s="3"/>
    </row>
    <row r="949" spans="6:20" ht="13" x14ac:dyDescent="0.15"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T949" s="3"/>
    </row>
    <row r="950" spans="6:20" ht="13" x14ac:dyDescent="0.15"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T950" s="3"/>
    </row>
    <row r="951" spans="6:20" ht="13" x14ac:dyDescent="0.15"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T951" s="3"/>
    </row>
    <row r="952" spans="6:20" ht="13" x14ac:dyDescent="0.15"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T952" s="3"/>
    </row>
    <row r="953" spans="6:20" ht="13" x14ac:dyDescent="0.15"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T953" s="3"/>
    </row>
    <row r="954" spans="6:20" ht="13" x14ac:dyDescent="0.15"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T954" s="3"/>
    </row>
    <row r="955" spans="6:20" ht="13" x14ac:dyDescent="0.15"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T955" s="3"/>
    </row>
    <row r="956" spans="6:20" ht="13" x14ac:dyDescent="0.15"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T956" s="3"/>
    </row>
    <row r="957" spans="6:20" ht="13" x14ac:dyDescent="0.15"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T957" s="3"/>
    </row>
    <row r="958" spans="6:20" ht="13" x14ac:dyDescent="0.15"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T958" s="3"/>
    </row>
    <row r="959" spans="6:20" ht="13" x14ac:dyDescent="0.15"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T959" s="3"/>
    </row>
    <row r="960" spans="6:20" ht="13" x14ac:dyDescent="0.15"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T960" s="3"/>
    </row>
    <row r="961" spans="6:20" ht="13" x14ac:dyDescent="0.15"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T961" s="3"/>
    </row>
    <row r="962" spans="6:20" ht="13" x14ac:dyDescent="0.15"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T962" s="3"/>
    </row>
    <row r="963" spans="6:20" ht="13" x14ac:dyDescent="0.15"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T963" s="3"/>
    </row>
    <row r="964" spans="6:20" ht="13" x14ac:dyDescent="0.15"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T964" s="3"/>
    </row>
    <row r="965" spans="6:20" ht="13" x14ac:dyDescent="0.15"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T965" s="3"/>
    </row>
    <row r="966" spans="6:20" ht="13" x14ac:dyDescent="0.15"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T966" s="3"/>
    </row>
    <row r="967" spans="6:20" ht="13" x14ac:dyDescent="0.15"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T967" s="3"/>
    </row>
    <row r="968" spans="6:20" ht="13" x14ac:dyDescent="0.15"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T968" s="3"/>
    </row>
    <row r="969" spans="6:20" ht="13" x14ac:dyDescent="0.15"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T969" s="3"/>
    </row>
    <row r="970" spans="6:20" ht="13" x14ac:dyDescent="0.15"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T970" s="3"/>
    </row>
    <row r="971" spans="6:20" ht="13" x14ac:dyDescent="0.15"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T971" s="3"/>
    </row>
    <row r="972" spans="6:20" ht="13" x14ac:dyDescent="0.15"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T972" s="3"/>
    </row>
    <row r="973" spans="6:20" ht="13" x14ac:dyDescent="0.15"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T973" s="3"/>
    </row>
    <row r="974" spans="6:20" ht="13" x14ac:dyDescent="0.15"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T974" s="3"/>
    </row>
    <row r="975" spans="6:20" ht="13" x14ac:dyDescent="0.15"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T975" s="3"/>
    </row>
    <row r="976" spans="6:20" ht="13" x14ac:dyDescent="0.15"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T976" s="3"/>
    </row>
    <row r="977" spans="6:20" ht="13" x14ac:dyDescent="0.15"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T977" s="3"/>
    </row>
    <row r="978" spans="6:20" ht="13" x14ac:dyDescent="0.15"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T978" s="3"/>
    </row>
    <row r="979" spans="6:20" ht="13" x14ac:dyDescent="0.15"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T979" s="3"/>
    </row>
    <row r="980" spans="6:20" ht="13" x14ac:dyDescent="0.15"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T980" s="3"/>
    </row>
    <row r="981" spans="6:20" ht="13" x14ac:dyDescent="0.15"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T981" s="3"/>
    </row>
    <row r="982" spans="6:20" ht="13" x14ac:dyDescent="0.15"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T982" s="3"/>
    </row>
    <row r="983" spans="6:20" ht="13" x14ac:dyDescent="0.15"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T983" s="3"/>
    </row>
    <row r="984" spans="6:20" ht="13" x14ac:dyDescent="0.15"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T984" s="3"/>
    </row>
    <row r="985" spans="6:20" ht="13" x14ac:dyDescent="0.15"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T985" s="3"/>
    </row>
    <row r="986" spans="6:20" ht="13" x14ac:dyDescent="0.15"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T986" s="3"/>
    </row>
    <row r="987" spans="6:20" ht="13" x14ac:dyDescent="0.15"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T987" s="3"/>
    </row>
    <row r="988" spans="6:20" ht="13" x14ac:dyDescent="0.15"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T988" s="3"/>
    </row>
    <row r="989" spans="6:20" ht="13" x14ac:dyDescent="0.15"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T989" s="3"/>
    </row>
    <row r="990" spans="6:20" ht="13" x14ac:dyDescent="0.15"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T990" s="3"/>
    </row>
    <row r="991" spans="6:20" ht="13" x14ac:dyDescent="0.15"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T991" s="3"/>
    </row>
    <row r="992" spans="6:20" ht="13" x14ac:dyDescent="0.15"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T992" s="3"/>
    </row>
    <row r="993" spans="6:20" ht="13" x14ac:dyDescent="0.15"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T993" s="3"/>
    </row>
    <row r="994" spans="6:20" ht="13" x14ac:dyDescent="0.15"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T994" s="3"/>
    </row>
    <row r="995" spans="6:20" ht="13" x14ac:dyDescent="0.15"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T995" s="3"/>
    </row>
    <row r="996" spans="6:20" ht="13" x14ac:dyDescent="0.15"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T996" s="3"/>
    </row>
    <row r="997" spans="6:20" ht="13" x14ac:dyDescent="0.15"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T997" s="3"/>
    </row>
    <row r="998" spans="6:20" ht="13" x14ac:dyDescent="0.15"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T998" s="3"/>
    </row>
    <row r="999" spans="6:20" ht="13" x14ac:dyDescent="0.15"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T999" s="3"/>
    </row>
    <row r="1000" spans="6:20" ht="13" x14ac:dyDescent="0.15"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T1000" s="3"/>
    </row>
    <row r="1001" spans="6:20" ht="13" x14ac:dyDescent="0.15"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T1001" s="3"/>
    </row>
    <row r="1002" spans="6:20" ht="15.75" customHeight="1" x14ac:dyDescent="0.15">
      <c r="H1002" s="3"/>
      <c r="T1002" s="3"/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zoomScale="200" workbookViewId="0">
      <selection activeCell="E2" sqref="E2:F2"/>
    </sheetView>
  </sheetViews>
  <sheetFormatPr baseColWidth="10" defaultColWidth="14.5" defaultRowHeight="15.75" customHeight="1" x14ac:dyDescent="0.15"/>
  <cols>
    <col min="1" max="1" width="17.6640625" customWidth="1"/>
    <col min="2" max="2" width="21.6640625" customWidth="1"/>
    <col min="3" max="3" width="4.83203125" customWidth="1"/>
    <col min="4" max="4" width="6.1640625" bestFit="1" customWidth="1"/>
    <col min="5" max="5" width="4.33203125" customWidth="1"/>
    <col min="6" max="6" width="21" customWidth="1"/>
    <col min="7" max="7" width="38.33203125" customWidth="1"/>
    <col min="17" max="17" width="6.1640625" bestFit="1" customWidth="1"/>
    <col min="18" max="18" width="34.83203125" customWidth="1"/>
    <col min="24" max="24" width="9.1640625" bestFit="1" customWidth="1"/>
  </cols>
  <sheetData>
    <row r="1" spans="1:27" ht="15.75" customHeight="1" x14ac:dyDescent="0.15">
      <c r="A1" s="1" t="s">
        <v>0</v>
      </c>
      <c r="B1" s="1" t="s">
        <v>58</v>
      </c>
      <c r="C1" s="1" t="s">
        <v>40</v>
      </c>
      <c r="D1" s="1" t="s">
        <v>41</v>
      </c>
      <c r="E1" s="1" t="s">
        <v>42</v>
      </c>
      <c r="F1" s="2" t="s">
        <v>43</v>
      </c>
      <c r="G1" s="2" t="s">
        <v>44</v>
      </c>
      <c r="H1" s="7" t="s">
        <v>18</v>
      </c>
      <c r="I1" s="7" t="s">
        <v>81</v>
      </c>
      <c r="J1" s="2" t="s">
        <v>111</v>
      </c>
      <c r="K1" s="7" t="s">
        <v>84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1" t="s">
        <v>41</v>
      </c>
      <c r="R1" s="2" t="s">
        <v>45</v>
      </c>
      <c r="S1" s="2" t="s">
        <v>31</v>
      </c>
      <c r="T1" s="7" t="s">
        <v>81</v>
      </c>
      <c r="U1" s="2" t="s">
        <v>111</v>
      </c>
      <c r="V1" s="7" t="s">
        <v>84</v>
      </c>
      <c r="W1" s="2" t="s">
        <v>176</v>
      </c>
      <c r="X1" s="2" t="s">
        <v>177</v>
      </c>
      <c r="Y1" s="2" t="s">
        <v>178</v>
      </c>
      <c r="Z1" s="2" t="s">
        <v>179</v>
      </c>
      <c r="AA1" s="2" t="s">
        <v>180</v>
      </c>
    </row>
    <row r="2" spans="1:27" ht="15.75" customHeight="1" x14ac:dyDescent="0.15">
      <c r="A2" s="1" t="s">
        <v>8</v>
      </c>
      <c r="B2" s="1" t="s">
        <v>13</v>
      </c>
      <c r="C2" s="1" t="s">
        <v>46</v>
      </c>
      <c r="D2" s="1">
        <v>0.99</v>
      </c>
      <c r="E2" s="1">
        <v>14</v>
      </c>
      <c r="F2" s="3" t="s">
        <v>59</v>
      </c>
      <c r="G2" s="3" t="s">
        <v>166</v>
      </c>
      <c r="H2">
        <v>150</v>
      </c>
      <c r="I2" s="6">
        <f>H2*7.812 - 437.5</f>
        <v>734.3</v>
      </c>
      <c r="J2" s="6">
        <f>((1.55958*H2)^1.1799)</f>
        <v>624.16557383439647</v>
      </c>
      <c r="K2" s="6">
        <f>(1.901*H2)^1.157</f>
        <v>692.65966090178415</v>
      </c>
      <c r="L2" s="6">
        <f>H2/0.2</f>
        <v>750</v>
      </c>
      <c r="M2" s="6">
        <f>5.3769*H2-115.64</f>
        <v>690.89499999999998</v>
      </c>
      <c r="N2" s="6">
        <f>2.2177*H2^1.1454</f>
        <v>689.28324935748356</v>
      </c>
      <c r="O2" s="6">
        <f>H2*6.0172 - 204.33</f>
        <v>698.24999999999989</v>
      </c>
      <c r="P2" s="6">
        <f>2.7244*(H2^1.1135)</f>
        <v>721.68634576939314</v>
      </c>
      <c r="Q2" s="1">
        <v>0.99</v>
      </c>
      <c r="R2" s="3" t="s">
        <v>236</v>
      </c>
      <c r="S2">
        <v>150</v>
      </c>
      <c r="T2" s="6">
        <f>S2*8.16 - 437.5</f>
        <v>786.5</v>
      </c>
      <c r="U2" s="6">
        <f>1.8173*(S2)^1.1799</f>
        <v>671.4237559375747</v>
      </c>
      <c r="V2" s="6">
        <f>((1.9869*S2)^1.157)</f>
        <v>728.99949929409695</v>
      </c>
      <c r="W2" s="6">
        <f t="shared" ref="W2:W12" si="0">S2/0.19</f>
        <v>789.47368421052636</v>
      </c>
      <c r="X2">
        <f>S2*5.8895 - 170.44</f>
        <v>712.9849999999999</v>
      </c>
      <c r="Y2">
        <f>(S2^1.2085)*1.6671</f>
        <v>710.83358368137647</v>
      </c>
      <c r="Z2">
        <f>6.1443*S2-166.83</f>
        <v>754.81500000000005</v>
      </c>
      <c r="AA2">
        <f>2.7587*S2^1.1215</f>
        <v>760.66042530754328</v>
      </c>
    </row>
    <row r="3" spans="1:27" ht="15.75" customHeight="1" x14ac:dyDescent="0.15">
      <c r="A3" s="1" t="s">
        <v>23</v>
      </c>
      <c r="B3" s="1" t="s">
        <v>25</v>
      </c>
      <c r="C3" s="1" t="s">
        <v>49</v>
      </c>
      <c r="D3" s="1" t="s">
        <v>22</v>
      </c>
      <c r="E3" s="1">
        <v>31</v>
      </c>
      <c r="F3" s="3" t="s">
        <v>60</v>
      </c>
      <c r="G3" s="3" t="s">
        <v>160</v>
      </c>
      <c r="H3">
        <v>200</v>
      </c>
      <c r="I3" s="6">
        <f t="shared" ref="I3:I12" si="1">H3*7.812 - 437.5</f>
        <v>1124.9000000000001</v>
      </c>
      <c r="J3" s="6">
        <f t="shared" ref="J3:J12" si="2">((1.55958*H3)^1.1799)</f>
        <v>876.42554341845994</v>
      </c>
      <c r="K3" s="6">
        <f t="shared" ref="K3:K12" si="3">(1.901*H3)^1.157</f>
        <v>966.21553126088463</v>
      </c>
      <c r="L3" s="6">
        <f t="shared" ref="L3:L12" si="4">H3/0.2</f>
        <v>1000</v>
      </c>
      <c r="M3" s="6">
        <f t="shared" ref="M3:M12" si="5">5.3769*H3-115.64</f>
        <v>959.74000000000012</v>
      </c>
      <c r="N3" s="6">
        <f t="shared" ref="N3:N12" si="6">2.2177*H3^1.1454</f>
        <v>958.30235079543729</v>
      </c>
      <c r="O3" s="6">
        <f t="shared" ref="O3:O12" si="7">H3*6.0172 - 204.33</f>
        <v>999.11</v>
      </c>
      <c r="P3" s="6">
        <f t="shared" ref="P3:P12" si="8">2.7244*(H3^1.1135)</f>
        <v>994.18629442678287</v>
      </c>
      <c r="Q3" s="1" t="s">
        <v>22</v>
      </c>
      <c r="R3" s="3" t="s">
        <v>229</v>
      </c>
      <c r="S3">
        <v>200</v>
      </c>
      <c r="T3" s="6">
        <f t="shared" ref="T3:T14" si="9">S3*8.16 - 437.5</f>
        <v>1194.5</v>
      </c>
      <c r="U3" s="6">
        <f t="shared" ref="U3:U12" si="10">1.8173*(S3)^1.1799</f>
        <v>942.78338125354617</v>
      </c>
      <c r="V3" s="6">
        <f t="shared" ref="V3:V12" si="11">((1.9869*S3)^1.157)</f>
        <v>1016.9072608939471</v>
      </c>
      <c r="W3" s="6">
        <f t="shared" si="0"/>
        <v>1052.6315789473683</v>
      </c>
      <c r="X3">
        <f t="shared" ref="X3:X12" si="12">S3*5.8895 - 170.44</f>
        <v>1007.46</v>
      </c>
      <c r="Y3">
        <f t="shared" ref="Y3:Y12" si="13">(S3^1.2085)*1.6671</f>
        <v>1006.3670323845548</v>
      </c>
      <c r="Z3">
        <f t="shared" ref="Z3:Z14" si="14">6.1443*S3-166.83</f>
        <v>1062.0300000000002</v>
      </c>
      <c r="AA3">
        <f t="shared" ref="AA3:AA14" si="15">2.7587*S3^1.1215</f>
        <v>1050.2909298889106</v>
      </c>
    </row>
    <row r="4" spans="1:27" ht="15.75" customHeight="1" x14ac:dyDescent="0.15">
      <c r="A4" s="1" t="s">
        <v>29</v>
      </c>
      <c r="B4" s="1" t="s">
        <v>34</v>
      </c>
      <c r="C4" s="1" t="s">
        <v>49</v>
      </c>
      <c r="D4" s="1">
        <v>0.98</v>
      </c>
      <c r="E4" s="1">
        <v>243</v>
      </c>
      <c r="F4" s="3" t="s">
        <v>61</v>
      </c>
      <c r="G4" s="3" t="s">
        <v>167</v>
      </c>
      <c r="H4">
        <v>250</v>
      </c>
      <c r="I4" s="6">
        <f t="shared" si="1"/>
        <v>1515.5</v>
      </c>
      <c r="J4" s="6">
        <f t="shared" si="2"/>
        <v>1140.4051002207127</v>
      </c>
      <c r="K4" s="6">
        <f t="shared" si="3"/>
        <v>1250.8317580396938</v>
      </c>
      <c r="L4" s="6">
        <f t="shared" si="4"/>
        <v>1250</v>
      </c>
      <c r="M4" s="6">
        <f t="shared" si="5"/>
        <v>1228.5849999999998</v>
      </c>
      <c r="N4" s="6">
        <f t="shared" si="6"/>
        <v>1237.3805420557753</v>
      </c>
      <c r="O4" s="6">
        <f t="shared" si="7"/>
        <v>1299.97</v>
      </c>
      <c r="P4" s="6">
        <f t="shared" si="8"/>
        <v>1274.6092657950267</v>
      </c>
      <c r="Q4" s="1">
        <v>0.98</v>
      </c>
      <c r="R4" s="3" t="s">
        <v>168</v>
      </c>
      <c r="S4">
        <v>250</v>
      </c>
      <c r="T4" s="6">
        <f t="shared" si="9"/>
        <v>1602.5</v>
      </c>
      <c r="U4" s="6">
        <f t="shared" si="10"/>
        <v>1226.7499326768573</v>
      </c>
      <c r="V4" s="6">
        <f t="shared" si="11"/>
        <v>1316.455651719247</v>
      </c>
      <c r="W4" s="6">
        <f t="shared" si="0"/>
        <v>1315.7894736842104</v>
      </c>
      <c r="X4">
        <f t="shared" si="12"/>
        <v>1301.9349999999999</v>
      </c>
      <c r="Y4">
        <f t="shared" si="13"/>
        <v>1317.8687260222584</v>
      </c>
      <c r="Z4">
        <f t="shared" si="14"/>
        <v>1369.2450000000001</v>
      </c>
      <c r="AA4">
        <f t="shared" si="15"/>
        <v>1348.9448505658809</v>
      </c>
    </row>
    <row r="5" spans="1:27" ht="15.75" customHeight="1" x14ac:dyDescent="0.15">
      <c r="A5" s="1" t="s">
        <v>29</v>
      </c>
      <c r="B5" s="1" t="s">
        <v>11</v>
      </c>
      <c r="C5" s="1" t="s">
        <v>49</v>
      </c>
      <c r="D5" s="1" t="s">
        <v>22</v>
      </c>
      <c r="E5" s="1">
        <v>243</v>
      </c>
      <c r="F5" s="3" t="s">
        <v>61</v>
      </c>
      <c r="G5" s="3" t="s">
        <v>109</v>
      </c>
      <c r="H5">
        <v>300</v>
      </c>
      <c r="I5" s="6">
        <f t="shared" si="1"/>
        <v>1906.1</v>
      </c>
      <c r="J5" s="6">
        <f t="shared" si="2"/>
        <v>1414.1162182426588</v>
      </c>
      <c r="K5" s="6">
        <f t="shared" si="3"/>
        <v>1544.5842459617427</v>
      </c>
      <c r="L5" s="6">
        <f t="shared" si="4"/>
        <v>1500</v>
      </c>
      <c r="M5" s="6">
        <f t="shared" si="5"/>
        <v>1497.4299999999998</v>
      </c>
      <c r="N5" s="6">
        <f t="shared" si="6"/>
        <v>1524.7459260053222</v>
      </c>
      <c r="O5" s="6">
        <f t="shared" si="7"/>
        <v>1600.83</v>
      </c>
      <c r="P5" s="6">
        <f t="shared" si="8"/>
        <v>1561.5122253304967</v>
      </c>
      <c r="Q5" s="1" t="s">
        <v>22</v>
      </c>
      <c r="R5" s="3" t="s">
        <v>110</v>
      </c>
      <c r="S5">
        <v>300</v>
      </c>
      <c r="T5" s="6">
        <f t="shared" si="9"/>
        <v>2010.5</v>
      </c>
      <c r="U5" s="6">
        <f t="shared" si="10"/>
        <v>1521.1848624586898</v>
      </c>
      <c r="V5" s="6">
        <f t="shared" si="11"/>
        <v>1625.6196303646479</v>
      </c>
      <c r="W5" s="6">
        <f t="shared" si="0"/>
        <v>1578.9473684210527</v>
      </c>
      <c r="X5">
        <f t="shared" si="12"/>
        <v>1596.4099999999999</v>
      </c>
      <c r="Y5">
        <f t="shared" si="13"/>
        <v>1642.7167589876221</v>
      </c>
      <c r="Z5">
        <f t="shared" si="14"/>
        <v>1676.4600000000003</v>
      </c>
      <c r="AA5">
        <f t="shared" si="15"/>
        <v>1654.992241030473</v>
      </c>
    </row>
    <row r="6" spans="1:27" ht="15.75" customHeight="1" x14ac:dyDescent="0.15">
      <c r="A6" s="1" t="s">
        <v>164</v>
      </c>
      <c r="B6" s="1" t="s">
        <v>11</v>
      </c>
      <c r="C6" s="1" t="s">
        <v>49</v>
      </c>
      <c r="D6">
        <v>0.997</v>
      </c>
      <c r="E6" s="1">
        <v>7</v>
      </c>
      <c r="F6" s="3" t="s">
        <v>162</v>
      </c>
      <c r="G6" s="4" t="s">
        <v>169</v>
      </c>
      <c r="H6">
        <v>350</v>
      </c>
      <c r="I6" s="6">
        <f t="shared" si="1"/>
        <v>2296.7000000000003</v>
      </c>
      <c r="J6" s="6">
        <f t="shared" si="2"/>
        <v>1696.1943811752749</v>
      </c>
      <c r="K6" s="6">
        <f t="shared" si="3"/>
        <v>1846.1587224906195</v>
      </c>
      <c r="L6" s="6">
        <f t="shared" si="4"/>
        <v>1750</v>
      </c>
      <c r="M6" s="6">
        <f t="shared" si="5"/>
        <v>1766.2749999999999</v>
      </c>
      <c r="N6" s="6">
        <f t="shared" si="6"/>
        <v>1819.1911495060663</v>
      </c>
      <c r="O6" s="6">
        <f t="shared" si="7"/>
        <v>1901.69</v>
      </c>
      <c r="P6" s="6">
        <f t="shared" si="8"/>
        <v>1853.9185032449764</v>
      </c>
      <c r="Q6">
        <v>0.996</v>
      </c>
      <c r="R6" s="4" t="s">
        <v>161</v>
      </c>
      <c r="S6">
        <v>350</v>
      </c>
      <c r="T6" s="6">
        <f t="shared" si="9"/>
        <v>2418.5</v>
      </c>
      <c r="U6" s="6">
        <f t="shared" si="10"/>
        <v>1824.6203410620603</v>
      </c>
      <c r="V6" s="6">
        <f t="shared" si="11"/>
        <v>1943.0159720300574</v>
      </c>
      <c r="W6" s="6">
        <f t="shared" si="0"/>
        <v>1842.1052631578948</v>
      </c>
      <c r="X6">
        <f t="shared" si="12"/>
        <v>1890.8849999999998</v>
      </c>
      <c r="Y6">
        <f t="shared" si="13"/>
        <v>1979.1006575920505</v>
      </c>
      <c r="Z6">
        <f t="shared" si="14"/>
        <v>1983.6750000000002</v>
      </c>
      <c r="AA6">
        <f t="shared" si="15"/>
        <v>1967.3280612658905</v>
      </c>
    </row>
    <row r="7" spans="1:27" ht="15.75" customHeight="1" x14ac:dyDescent="0.15">
      <c r="A7" s="1" t="s">
        <v>165</v>
      </c>
      <c r="B7" s="1" t="s">
        <v>24</v>
      </c>
      <c r="C7" s="1" t="s">
        <v>49</v>
      </c>
      <c r="D7" s="1">
        <v>0.995</v>
      </c>
      <c r="E7" s="1">
        <v>7</v>
      </c>
      <c r="F7" s="3" t="s">
        <v>162</v>
      </c>
      <c r="G7" s="4" t="s">
        <v>170</v>
      </c>
      <c r="H7">
        <v>400</v>
      </c>
      <c r="I7" s="6">
        <f t="shared" si="1"/>
        <v>2687.3</v>
      </c>
      <c r="J7" s="6">
        <f t="shared" si="2"/>
        <v>1985.6391108155035</v>
      </c>
      <c r="K7" s="6">
        <f t="shared" si="3"/>
        <v>2154.5953547318418</v>
      </c>
      <c r="L7" s="6">
        <f t="shared" si="4"/>
        <v>2000</v>
      </c>
      <c r="M7" s="6">
        <f t="shared" si="5"/>
        <v>2035.1200000000001</v>
      </c>
      <c r="N7" s="6">
        <f t="shared" si="6"/>
        <v>2119.8362307784141</v>
      </c>
      <c r="O7" s="6">
        <f t="shared" si="7"/>
        <v>2202.5500000000002</v>
      </c>
      <c r="P7" s="6">
        <f t="shared" si="8"/>
        <v>2151.1201675132002</v>
      </c>
      <c r="Q7" s="1">
        <v>0.99399999999999999</v>
      </c>
      <c r="R7" s="4" t="s">
        <v>175</v>
      </c>
      <c r="S7">
        <v>400</v>
      </c>
      <c r="T7" s="6">
        <f t="shared" si="9"/>
        <v>2826.5</v>
      </c>
      <c r="U7" s="6">
        <f t="shared" si="10"/>
        <v>2135.9801399011767</v>
      </c>
      <c r="V7" s="6">
        <f t="shared" si="11"/>
        <v>2267.6344869513305</v>
      </c>
      <c r="W7" s="6">
        <f t="shared" si="0"/>
        <v>2105.2631578947367</v>
      </c>
      <c r="X7">
        <f t="shared" si="12"/>
        <v>2185.36</v>
      </c>
      <c r="Y7">
        <f t="shared" si="13"/>
        <v>2325.6863881262057</v>
      </c>
      <c r="Z7">
        <f t="shared" si="14"/>
        <v>2290.8900000000003</v>
      </c>
      <c r="AA7">
        <f t="shared" si="15"/>
        <v>2285.1502220429634</v>
      </c>
    </row>
    <row r="8" spans="1:27" ht="15.75" customHeight="1" x14ac:dyDescent="0.15">
      <c r="A8" s="1" t="s">
        <v>173</v>
      </c>
      <c r="B8" s="1" t="s">
        <v>11</v>
      </c>
      <c r="C8" s="1" t="s">
        <v>49</v>
      </c>
      <c r="D8" s="1">
        <v>0.96340000000000003</v>
      </c>
      <c r="E8" s="1">
        <v>19</v>
      </c>
      <c r="F8" s="3" t="s">
        <v>255</v>
      </c>
      <c r="G8" s="3" t="s">
        <v>251</v>
      </c>
      <c r="H8">
        <v>450</v>
      </c>
      <c r="I8" s="6">
        <f t="shared" si="1"/>
        <v>3077.9</v>
      </c>
      <c r="J8" s="6">
        <f t="shared" si="2"/>
        <v>2281.6823331016562</v>
      </c>
      <c r="K8" s="6">
        <f t="shared" si="3"/>
        <v>2469.1597430232609</v>
      </c>
      <c r="L8" s="6">
        <f t="shared" si="4"/>
        <v>2250</v>
      </c>
      <c r="M8" s="6">
        <f t="shared" si="5"/>
        <v>2303.9650000000001</v>
      </c>
      <c r="N8" s="6">
        <f t="shared" si="6"/>
        <v>2426.0090116027486</v>
      </c>
      <c r="O8" s="6">
        <f t="shared" si="7"/>
        <v>2503.41</v>
      </c>
      <c r="P8" s="6">
        <f t="shared" si="8"/>
        <v>2452.57900206969</v>
      </c>
      <c r="Q8" s="1">
        <v>0.96660000000000001</v>
      </c>
      <c r="R8" s="3" t="s">
        <v>250</v>
      </c>
      <c r="S8">
        <v>450</v>
      </c>
      <c r="T8" s="6">
        <f t="shared" si="9"/>
        <v>3234.5</v>
      </c>
      <c r="U8" s="6">
        <f t="shared" si="10"/>
        <v>2454.4380308196669</v>
      </c>
      <c r="V8" s="6">
        <f t="shared" si="11"/>
        <v>2598.7022457719395</v>
      </c>
      <c r="W8" s="6">
        <f t="shared" si="0"/>
        <v>2368.4210526315787</v>
      </c>
      <c r="X8">
        <f t="shared" si="12"/>
        <v>2479.835</v>
      </c>
      <c r="Y8">
        <f t="shared" si="13"/>
        <v>2681.4454999233667</v>
      </c>
      <c r="Z8">
        <f t="shared" si="14"/>
        <v>2598.105</v>
      </c>
      <c r="AA8">
        <f t="shared" si="15"/>
        <v>2607.8482065543203</v>
      </c>
    </row>
    <row r="9" spans="1:27" ht="15.75" customHeight="1" x14ac:dyDescent="0.15">
      <c r="A9" s="1" t="s">
        <v>174</v>
      </c>
      <c r="B9" s="1" t="s">
        <v>24</v>
      </c>
      <c r="C9" s="1" t="s">
        <v>49</v>
      </c>
      <c r="D9" s="1">
        <v>0.97270000000000001</v>
      </c>
      <c r="E9" s="1">
        <v>19</v>
      </c>
      <c r="F9" s="3" t="s">
        <v>255</v>
      </c>
      <c r="G9" s="3" t="s">
        <v>252</v>
      </c>
      <c r="H9">
        <v>500</v>
      </c>
      <c r="I9" s="6">
        <f t="shared" si="1"/>
        <v>3468.5</v>
      </c>
      <c r="J9" s="6">
        <f t="shared" si="2"/>
        <v>2583.7140258822219</v>
      </c>
      <c r="K9" s="6">
        <f t="shared" si="3"/>
        <v>2789.2703110520706</v>
      </c>
      <c r="L9" s="6">
        <f t="shared" si="4"/>
        <v>2500</v>
      </c>
      <c r="M9" s="6">
        <f t="shared" si="5"/>
        <v>2572.81</v>
      </c>
      <c r="N9" s="6">
        <f t="shared" si="6"/>
        <v>2737.1779920322774</v>
      </c>
      <c r="O9" s="6">
        <f t="shared" si="7"/>
        <v>2804.27</v>
      </c>
      <c r="P9" s="6">
        <f t="shared" si="8"/>
        <v>2757.8711482154695</v>
      </c>
      <c r="Q9" s="1">
        <v>0.96579999999999999</v>
      </c>
      <c r="R9" s="3" t="s">
        <v>253</v>
      </c>
      <c r="S9">
        <v>500</v>
      </c>
      <c r="T9" s="6">
        <f t="shared" si="9"/>
        <v>3642.5</v>
      </c>
      <c r="U9" s="6">
        <f t="shared" si="10"/>
        <v>2779.3378043414832</v>
      </c>
      <c r="V9" s="6">
        <f t="shared" si="11"/>
        <v>2935.6071602402308</v>
      </c>
      <c r="W9" s="6">
        <f t="shared" si="0"/>
        <v>2631.5789473684208</v>
      </c>
      <c r="X9">
        <f t="shared" si="12"/>
        <v>2774.31</v>
      </c>
      <c r="Y9">
        <f t="shared" si="13"/>
        <v>3045.5581898235373</v>
      </c>
      <c r="Z9">
        <f t="shared" si="14"/>
        <v>2905.32</v>
      </c>
      <c r="AA9">
        <f t="shared" si="15"/>
        <v>2934.9407264903002</v>
      </c>
    </row>
    <row r="10" spans="1:27" ht="15.75" customHeight="1" x14ac:dyDescent="0.15">
      <c r="F10" s="3"/>
      <c r="G10" s="3"/>
      <c r="H10">
        <v>550</v>
      </c>
      <c r="I10" s="6">
        <f t="shared" si="1"/>
        <v>3859.1000000000004</v>
      </c>
      <c r="J10" s="6">
        <f t="shared" si="2"/>
        <v>2891.236860123357</v>
      </c>
      <c r="K10" s="6">
        <f t="shared" si="3"/>
        <v>3114.4541445906339</v>
      </c>
      <c r="L10" s="6">
        <f t="shared" si="4"/>
        <v>2750</v>
      </c>
      <c r="M10" s="6">
        <f t="shared" si="5"/>
        <v>2841.6550000000002</v>
      </c>
      <c r="N10" s="6">
        <f t="shared" si="6"/>
        <v>3052.9115434690302</v>
      </c>
      <c r="O10" s="6">
        <f t="shared" si="7"/>
        <v>3105.13</v>
      </c>
      <c r="P10" s="6">
        <f t="shared" si="8"/>
        <v>3066.653629746148</v>
      </c>
      <c r="Q10" s="6"/>
      <c r="R10" s="3"/>
      <c r="S10">
        <v>550</v>
      </c>
      <c r="T10" s="6">
        <f t="shared" si="9"/>
        <v>4050.5</v>
      </c>
      <c r="U10" s="6">
        <f t="shared" si="10"/>
        <v>3110.1444765747956</v>
      </c>
      <c r="V10" s="6">
        <f t="shared" si="11"/>
        <v>3277.8515050596111</v>
      </c>
      <c r="W10" s="6">
        <f t="shared" si="0"/>
        <v>2894.7368421052633</v>
      </c>
      <c r="X10">
        <f t="shared" si="12"/>
        <v>3068.7849999999999</v>
      </c>
      <c r="Y10">
        <f t="shared" si="13"/>
        <v>3417.3539412575956</v>
      </c>
      <c r="Z10">
        <f t="shared" si="14"/>
        <v>3212.5350000000003</v>
      </c>
      <c r="AA10">
        <f t="shared" si="15"/>
        <v>3266.0379830652378</v>
      </c>
    </row>
    <row r="11" spans="1:27" ht="15.75" customHeight="1" x14ac:dyDescent="0.15">
      <c r="F11" s="3"/>
      <c r="G11" s="3"/>
      <c r="H11">
        <v>600</v>
      </c>
      <c r="I11" s="6">
        <f t="shared" si="1"/>
        <v>4249.7</v>
      </c>
      <c r="J11" s="6">
        <f t="shared" si="2"/>
        <v>3203.8368704190743</v>
      </c>
      <c r="K11" s="6">
        <f t="shared" si="3"/>
        <v>3444.3185124526717</v>
      </c>
      <c r="L11" s="6">
        <f t="shared" si="4"/>
        <v>3000</v>
      </c>
      <c r="M11" s="6">
        <f t="shared" si="5"/>
        <v>3110.5</v>
      </c>
      <c r="N11" s="6">
        <f t="shared" si="6"/>
        <v>3372.8516412330368</v>
      </c>
      <c r="O11" s="6">
        <f t="shared" si="7"/>
        <v>3405.99</v>
      </c>
      <c r="P11" s="6">
        <f t="shared" si="8"/>
        <v>3378.6428746370357</v>
      </c>
      <c r="Q11" s="6"/>
      <c r="R11" s="3"/>
      <c r="S11">
        <v>600</v>
      </c>
      <c r="T11" s="6">
        <f t="shared" si="9"/>
        <v>4458.5</v>
      </c>
      <c r="U11" s="6">
        <f t="shared" si="10"/>
        <v>3446.4127390640092</v>
      </c>
      <c r="V11" s="6">
        <f t="shared" si="11"/>
        <v>3625.0219447143768</v>
      </c>
      <c r="W11" s="6">
        <f t="shared" si="0"/>
        <v>3157.8947368421054</v>
      </c>
      <c r="X11">
        <f t="shared" si="12"/>
        <v>3363.2599999999998</v>
      </c>
      <c r="Y11">
        <f t="shared" si="13"/>
        <v>3796.2730127117616</v>
      </c>
      <c r="Z11">
        <f t="shared" si="14"/>
        <v>3519.7500000000005</v>
      </c>
      <c r="AA11">
        <f t="shared" si="15"/>
        <v>3600.8174301478316</v>
      </c>
    </row>
    <row r="12" spans="1:27" ht="15.75" customHeight="1" x14ac:dyDescent="0.15">
      <c r="F12" s="3"/>
      <c r="G12" s="3"/>
      <c r="H12">
        <v>650</v>
      </c>
      <c r="I12" s="6">
        <f t="shared" si="1"/>
        <v>4640.3</v>
      </c>
      <c r="J12" s="6">
        <f t="shared" si="2"/>
        <v>3521.1636041431393</v>
      </c>
      <c r="K12" s="6">
        <f t="shared" si="3"/>
        <v>3778.5316370571395</v>
      </c>
      <c r="L12" s="6">
        <f t="shared" si="4"/>
        <v>3250</v>
      </c>
      <c r="M12" s="6">
        <f t="shared" si="5"/>
        <v>3379.3450000000003</v>
      </c>
      <c r="N12" s="6">
        <f t="shared" si="6"/>
        <v>3696.6961498057353</v>
      </c>
      <c r="O12" s="6">
        <f t="shared" si="7"/>
        <v>3706.85</v>
      </c>
      <c r="P12" s="6">
        <f t="shared" si="8"/>
        <v>3693.6002780169429</v>
      </c>
      <c r="Q12" s="6"/>
      <c r="R12" s="3"/>
      <c r="S12">
        <v>650</v>
      </c>
      <c r="T12" s="6">
        <f t="shared" si="9"/>
        <v>4866.5</v>
      </c>
      <c r="U12" s="6">
        <f t="shared" si="10"/>
        <v>3787.7656049510683</v>
      </c>
      <c r="V12" s="6">
        <f t="shared" si="11"/>
        <v>3976.769295176467</v>
      </c>
      <c r="W12" s="6">
        <f t="shared" si="0"/>
        <v>3421.0526315789475</v>
      </c>
      <c r="X12">
        <f t="shared" si="12"/>
        <v>3657.7350000000001</v>
      </c>
      <c r="Y12">
        <f t="shared" si="13"/>
        <v>4181.8402947088025</v>
      </c>
      <c r="Z12">
        <f t="shared" si="14"/>
        <v>3826.9650000000001</v>
      </c>
      <c r="AA12">
        <f t="shared" si="15"/>
        <v>3939.0074694697851</v>
      </c>
    </row>
    <row r="13" spans="1:27" ht="15.75" customHeight="1" x14ac:dyDescent="0.15">
      <c r="F13" s="3"/>
      <c r="G13" s="3"/>
      <c r="I13" s="6"/>
      <c r="J13" s="6"/>
      <c r="K13" s="6"/>
      <c r="L13" s="6"/>
      <c r="M13" s="6"/>
      <c r="N13" s="6"/>
      <c r="O13" s="6"/>
      <c r="P13" s="6"/>
      <c r="Q13" s="6"/>
      <c r="R13" s="3"/>
      <c r="S13">
        <v>700</v>
      </c>
      <c r="T13" s="6">
        <f t="shared" si="9"/>
        <v>5274.5</v>
      </c>
      <c r="U13" s="6">
        <f>1.8173*(S13)^1.1799</f>
        <v>4133.8794137273226</v>
      </c>
      <c r="V13" s="6">
        <f>((1.9869*S13)^1.157)</f>
        <v>4332.794342523749</v>
      </c>
      <c r="W13" s="6">
        <f>S13/0.19</f>
        <v>3684.2105263157896</v>
      </c>
      <c r="X13">
        <f>S13*5.8895 - 170.44</f>
        <v>3952.2099999999996</v>
      </c>
      <c r="Y13">
        <f>(S13^1.2085)*1.6671</f>
        <v>4573.6469021519333</v>
      </c>
      <c r="Z13">
        <f t="shared" si="14"/>
        <v>4134.18</v>
      </c>
      <c r="AA13">
        <f t="shared" si="15"/>
        <v>4280.3760635242297</v>
      </c>
    </row>
    <row r="14" spans="1:27" ht="15.75" customHeight="1" x14ac:dyDescent="0.15">
      <c r="F14" s="3"/>
      <c r="G14" s="3"/>
      <c r="I14" s="6"/>
      <c r="J14" s="6"/>
      <c r="K14" s="6"/>
      <c r="L14" s="6"/>
      <c r="M14" s="6"/>
      <c r="N14" s="6"/>
      <c r="O14" s="6"/>
      <c r="P14" s="6"/>
      <c r="Q14" s="6"/>
      <c r="R14" s="3"/>
      <c r="S14">
        <v>750</v>
      </c>
      <c r="T14" s="6">
        <f t="shared" si="9"/>
        <v>5682.5</v>
      </c>
      <c r="U14" s="6">
        <f>1.8173*(S14)^1.1799</f>
        <v>4484.4729761803164</v>
      </c>
      <c r="V14" s="6">
        <f>((1.9869*S14)^1.157)</f>
        <v>4692.8375971378046</v>
      </c>
      <c r="W14" s="6">
        <f>S14/0.19</f>
        <v>3947.3684210526317</v>
      </c>
      <c r="X14">
        <f>S14*5.8895 - 170.44</f>
        <v>4246.6850000000004</v>
      </c>
      <c r="Y14">
        <f>(S14^1.2085)*1.6671</f>
        <v>4971.3368163906462</v>
      </c>
      <c r="Z14">
        <f t="shared" si="14"/>
        <v>4441.3950000000004</v>
      </c>
      <c r="AA14">
        <f t="shared" si="15"/>
        <v>4624.7225335360581</v>
      </c>
    </row>
    <row r="15" spans="1:27" ht="15.75" customHeight="1" x14ac:dyDescent="0.15">
      <c r="F15" s="3"/>
      <c r="G15" s="3"/>
      <c r="I15" s="6"/>
      <c r="J15" s="6"/>
      <c r="K15" s="6"/>
      <c r="L15" s="6"/>
      <c r="M15" s="6"/>
      <c r="N15" s="6"/>
      <c r="O15" s="6"/>
      <c r="P15" s="6"/>
      <c r="Q15" s="6"/>
      <c r="R15" s="3"/>
      <c r="T15" s="6"/>
      <c r="U15" s="6"/>
      <c r="V15" s="6"/>
      <c r="W15" s="6"/>
    </row>
    <row r="16" spans="1:27" ht="15.75" customHeight="1" x14ac:dyDescent="0.15">
      <c r="F16" s="3"/>
      <c r="G16" s="3"/>
      <c r="I16" s="6"/>
      <c r="J16" s="6"/>
      <c r="K16" s="6"/>
      <c r="L16" s="6"/>
      <c r="M16" s="6"/>
      <c r="N16" s="6"/>
      <c r="O16" s="6"/>
      <c r="P16" s="6"/>
      <c r="Q16" s="6"/>
      <c r="R16" s="3"/>
      <c r="T16" s="6"/>
      <c r="U16" s="6"/>
      <c r="V16" s="6"/>
      <c r="W16" s="6"/>
    </row>
    <row r="17" spans="6:23" ht="15.75" customHeight="1" x14ac:dyDescent="0.15">
      <c r="F17" s="3"/>
      <c r="G17" s="3"/>
      <c r="I17" s="6"/>
      <c r="J17" s="6"/>
      <c r="K17" s="6"/>
      <c r="L17" s="6"/>
      <c r="M17" s="6"/>
      <c r="N17" s="6"/>
      <c r="O17" s="6"/>
      <c r="P17" s="6"/>
      <c r="Q17" s="6"/>
      <c r="R17" s="3"/>
      <c r="T17" s="6"/>
      <c r="U17" s="6"/>
      <c r="V17" s="6"/>
      <c r="W17" s="6"/>
    </row>
    <row r="18" spans="6:23" ht="15.75" customHeight="1" x14ac:dyDescent="0.15">
      <c r="F18" s="3"/>
      <c r="G18" s="3"/>
      <c r="R18" s="3"/>
    </row>
    <row r="19" spans="6:23" ht="15.75" customHeight="1" x14ac:dyDescent="0.15">
      <c r="F19" s="3"/>
      <c r="G19" s="3"/>
      <c r="R19" s="3"/>
    </row>
    <row r="20" spans="6:23" ht="15.75" customHeight="1" x14ac:dyDescent="0.15">
      <c r="F20" s="3"/>
      <c r="G20" s="3"/>
      <c r="R20" s="3"/>
    </row>
    <row r="21" spans="6:23" ht="15.75" customHeight="1" x14ac:dyDescent="0.15">
      <c r="F21" s="3"/>
      <c r="G21" s="3"/>
      <c r="R21" s="3"/>
    </row>
    <row r="22" spans="6:23" ht="15.75" customHeight="1" x14ac:dyDescent="0.15">
      <c r="F22" s="3"/>
      <c r="G22" s="3"/>
      <c r="R22" s="3"/>
    </row>
    <row r="23" spans="6:23" ht="15.75" customHeight="1" x14ac:dyDescent="0.15">
      <c r="F23" s="3"/>
      <c r="G23" s="3"/>
      <c r="R23" s="3"/>
    </row>
    <row r="24" spans="6:23" ht="15.75" customHeight="1" x14ac:dyDescent="0.15">
      <c r="F24" s="3"/>
      <c r="G24" s="3"/>
      <c r="R24" s="3"/>
    </row>
    <row r="25" spans="6:23" ht="15.75" customHeight="1" x14ac:dyDescent="0.15">
      <c r="F25" s="3"/>
      <c r="G25" s="3"/>
      <c r="R25" s="3"/>
    </row>
    <row r="26" spans="6:23" ht="15.75" customHeight="1" x14ac:dyDescent="0.15">
      <c r="F26" s="3"/>
      <c r="G26" s="3"/>
      <c r="R26" s="3"/>
    </row>
    <row r="27" spans="6:23" ht="15.75" customHeight="1" x14ac:dyDescent="0.15">
      <c r="F27" s="3"/>
      <c r="G27" s="3"/>
      <c r="R27" s="3"/>
    </row>
    <row r="28" spans="6:23" ht="15.75" customHeight="1" x14ac:dyDescent="0.15">
      <c r="F28" s="3"/>
      <c r="G28" s="3"/>
      <c r="R28" s="3"/>
    </row>
    <row r="29" spans="6:23" ht="15.75" customHeight="1" x14ac:dyDescent="0.15">
      <c r="F29" s="3"/>
      <c r="G29" s="3"/>
      <c r="R29" s="3"/>
    </row>
    <row r="30" spans="6:23" ht="15.75" customHeight="1" x14ac:dyDescent="0.15">
      <c r="F30" s="3"/>
      <c r="G30" s="3"/>
      <c r="R30" s="3"/>
    </row>
    <row r="31" spans="6:23" ht="15.75" customHeight="1" x14ac:dyDescent="0.15">
      <c r="F31" s="3"/>
      <c r="G31" s="3"/>
      <c r="R31" s="3"/>
    </row>
    <row r="32" spans="6:23" ht="15.75" customHeight="1" x14ac:dyDescent="0.15">
      <c r="F32" s="3"/>
      <c r="G32" s="3"/>
      <c r="R32" s="3"/>
    </row>
    <row r="33" spans="6:18" ht="15.75" customHeight="1" x14ac:dyDescent="0.15">
      <c r="F33" s="3"/>
      <c r="G33" s="3"/>
      <c r="R33" s="3"/>
    </row>
    <row r="34" spans="6:18" ht="15.75" customHeight="1" x14ac:dyDescent="0.15">
      <c r="F34" s="3"/>
      <c r="G34" s="3"/>
      <c r="R34" s="3"/>
    </row>
    <row r="35" spans="6:18" ht="15.75" customHeight="1" x14ac:dyDescent="0.15">
      <c r="F35" s="3"/>
      <c r="G35" s="3"/>
      <c r="R35" s="3"/>
    </row>
    <row r="36" spans="6:18" ht="15.75" customHeight="1" x14ac:dyDescent="0.15">
      <c r="F36" s="3"/>
      <c r="G36" s="3"/>
      <c r="R36" s="3"/>
    </row>
    <row r="37" spans="6:18" ht="15.75" customHeight="1" x14ac:dyDescent="0.15">
      <c r="F37" s="3"/>
      <c r="G37" s="3"/>
      <c r="R37" s="3"/>
    </row>
    <row r="38" spans="6:18" ht="15.75" customHeight="1" x14ac:dyDescent="0.15">
      <c r="F38" s="3"/>
      <c r="G38" s="3"/>
      <c r="R38" s="3"/>
    </row>
    <row r="39" spans="6:18" ht="15.75" customHeight="1" x14ac:dyDescent="0.15">
      <c r="F39" s="3"/>
      <c r="G39" s="3"/>
      <c r="R39" s="3"/>
    </row>
    <row r="40" spans="6:18" ht="15.75" customHeight="1" x14ac:dyDescent="0.15">
      <c r="F40" s="3"/>
      <c r="G40" s="3"/>
      <c r="R40" s="3"/>
    </row>
    <row r="41" spans="6:18" ht="15.75" customHeight="1" x14ac:dyDescent="0.15">
      <c r="F41" s="3"/>
      <c r="G41" s="3"/>
      <c r="R41" s="3"/>
    </row>
    <row r="42" spans="6:18" ht="15.75" customHeight="1" x14ac:dyDescent="0.15">
      <c r="F42" s="3"/>
      <c r="G42" s="3"/>
      <c r="R42" s="3"/>
    </row>
    <row r="43" spans="6:18" ht="15.75" customHeight="1" x14ac:dyDescent="0.15">
      <c r="F43" s="3"/>
      <c r="G43" s="3"/>
      <c r="R43" s="3"/>
    </row>
    <row r="44" spans="6:18" ht="15.75" customHeight="1" x14ac:dyDescent="0.15">
      <c r="F44" s="3"/>
      <c r="G44" s="3"/>
      <c r="R44" s="3"/>
    </row>
    <row r="45" spans="6:18" ht="15.75" customHeight="1" x14ac:dyDescent="0.15">
      <c r="F45" s="3"/>
      <c r="G45" s="3"/>
      <c r="R45" s="3"/>
    </row>
    <row r="46" spans="6:18" ht="15.75" customHeight="1" x14ac:dyDescent="0.15">
      <c r="F46" s="3"/>
      <c r="G46" s="3"/>
      <c r="R46" s="3"/>
    </row>
    <row r="47" spans="6:18" ht="15.75" customHeight="1" x14ac:dyDescent="0.15">
      <c r="F47" s="3"/>
      <c r="G47" s="3"/>
      <c r="R47" s="3"/>
    </row>
    <row r="48" spans="6:18" ht="15.75" customHeight="1" x14ac:dyDescent="0.15">
      <c r="F48" s="3"/>
      <c r="G48" s="3"/>
      <c r="R48" s="3"/>
    </row>
    <row r="49" spans="6:18" ht="15.75" customHeight="1" x14ac:dyDescent="0.15">
      <c r="F49" s="3"/>
      <c r="G49" s="3"/>
      <c r="R49" s="3"/>
    </row>
    <row r="50" spans="6:18" ht="15.75" customHeight="1" x14ac:dyDescent="0.15">
      <c r="F50" s="3"/>
      <c r="G50" s="3"/>
      <c r="R50" s="3"/>
    </row>
    <row r="51" spans="6:18" ht="15.75" customHeight="1" x14ac:dyDescent="0.15">
      <c r="F51" s="3"/>
      <c r="G51" s="3"/>
      <c r="R51" s="3"/>
    </row>
    <row r="52" spans="6:18" ht="15.75" customHeight="1" x14ac:dyDescent="0.15">
      <c r="F52" s="3"/>
      <c r="G52" s="3"/>
      <c r="R52" s="3"/>
    </row>
    <row r="53" spans="6:18" ht="15.75" customHeight="1" x14ac:dyDescent="0.15">
      <c r="F53" s="3"/>
      <c r="G53" s="3"/>
      <c r="R53" s="3"/>
    </row>
    <row r="54" spans="6:18" ht="15.75" customHeight="1" x14ac:dyDescent="0.15">
      <c r="F54" s="3"/>
      <c r="G54" s="3"/>
      <c r="R54" s="3"/>
    </row>
    <row r="55" spans="6:18" ht="15.75" customHeight="1" x14ac:dyDescent="0.15">
      <c r="F55" s="3"/>
      <c r="G55" s="3"/>
      <c r="R55" s="3"/>
    </row>
    <row r="56" spans="6:18" ht="15.75" customHeight="1" x14ac:dyDescent="0.15">
      <c r="F56" s="3"/>
      <c r="G56" s="3"/>
      <c r="R56" s="3"/>
    </row>
    <row r="57" spans="6:18" ht="15.75" customHeight="1" x14ac:dyDescent="0.15">
      <c r="F57" s="3"/>
      <c r="G57" s="3"/>
      <c r="R57" s="3"/>
    </row>
    <row r="58" spans="6:18" ht="15.75" customHeight="1" x14ac:dyDescent="0.15">
      <c r="F58" s="3"/>
      <c r="G58" s="3"/>
      <c r="R58" s="3"/>
    </row>
    <row r="59" spans="6:18" ht="15.75" customHeight="1" x14ac:dyDescent="0.15">
      <c r="F59" s="3"/>
      <c r="G59" s="3"/>
      <c r="R59" s="3"/>
    </row>
    <row r="60" spans="6:18" ht="15.75" customHeight="1" x14ac:dyDescent="0.15">
      <c r="F60" s="3"/>
      <c r="G60" s="3"/>
      <c r="R60" s="3"/>
    </row>
    <row r="61" spans="6:18" ht="15.75" customHeight="1" x14ac:dyDescent="0.15">
      <c r="F61" s="3"/>
      <c r="G61" s="3"/>
      <c r="R61" s="3"/>
    </row>
    <row r="62" spans="6:18" ht="13" x14ac:dyDescent="0.15">
      <c r="F62" s="3"/>
      <c r="G62" s="3"/>
      <c r="R62" s="3"/>
    </row>
    <row r="63" spans="6:18" ht="13" x14ac:dyDescent="0.15">
      <c r="F63" s="3"/>
      <c r="G63" s="3"/>
      <c r="R63" s="3"/>
    </row>
    <row r="64" spans="6:18" ht="13" x14ac:dyDescent="0.15">
      <c r="F64" s="3"/>
      <c r="G64" s="3"/>
      <c r="R64" s="3"/>
    </row>
    <row r="65" spans="6:18" ht="13" x14ac:dyDescent="0.15">
      <c r="F65" s="3"/>
      <c r="G65" s="3"/>
      <c r="R65" s="3"/>
    </row>
    <row r="66" spans="6:18" ht="13" x14ac:dyDescent="0.15">
      <c r="F66" s="3"/>
      <c r="G66" s="3"/>
      <c r="R66" s="3"/>
    </row>
    <row r="67" spans="6:18" ht="13" x14ac:dyDescent="0.15">
      <c r="F67" s="3"/>
      <c r="G67" s="3"/>
      <c r="R67" s="3"/>
    </row>
    <row r="68" spans="6:18" ht="13" x14ac:dyDescent="0.15">
      <c r="F68" s="3"/>
      <c r="G68" s="3"/>
      <c r="R68" s="3"/>
    </row>
    <row r="69" spans="6:18" ht="13" x14ac:dyDescent="0.15">
      <c r="F69" s="3"/>
      <c r="G69" s="3"/>
      <c r="R69" s="3"/>
    </row>
    <row r="70" spans="6:18" ht="13" x14ac:dyDescent="0.15">
      <c r="F70" s="3"/>
      <c r="G70" s="3"/>
      <c r="R70" s="3"/>
    </row>
    <row r="71" spans="6:18" ht="13" x14ac:dyDescent="0.15">
      <c r="F71" s="3"/>
      <c r="G71" s="3"/>
      <c r="R71" s="3"/>
    </row>
    <row r="72" spans="6:18" ht="13" x14ac:dyDescent="0.15">
      <c r="F72" s="3"/>
      <c r="G72" s="3"/>
      <c r="R72" s="3"/>
    </row>
    <row r="73" spans="6:18" ht="13" x14ac:dyDescent="0.15">
      <c r="F73" s="3"/>
      <c r="G73" s="3"/>
      <c r="R73" s="3"/>
    </row>
    <row r="74" spans="6:18" ht="13" x14ac:dyDescent="0.15">
      <c r="F74" s="3"/>
      <c r="G74" s="3"/>
      <c r="R74" s="3"/>
    </row>
    <row r="75" spans="6:18" ht="13" x14ac:dyDescent="0.15">
      <c r="F75" s="3"/>
      <c r="G75" s="3"/>
      <c r="R75" s="3"/>
    </row>
    <row r="76" spans="6:18" ht="13" x14ac:dyDescent="0.15">
      <c r="F76" s="3"/>
      <c r="G76" s="3"/>
      <c r="R76" s="3"/>
    </row>
    <row r="77" spans="6:18" ht="13" x14ac:dyDescent="0.15">
      <c r="F77" s="3"/>
      <c r="G77" s="3"/>
      <c r="R77" s="3"/>
    </row>
    <row r="78" spans="6:18" ht="13" x14ac:dyDescent="0.15">
      <c r="F78" s="3"/>
      <c r="G78" s="3"/>
      <c r="R78" s="3"/>
    </row>
    <row r="79" spans="6:18" ht="13" x14ac:dyDescent="0.15">
      <c r="F79" s="3"/>
      <c r="G79" s="3"/>
      <c r="R79" s="3"/>
    </row>
    <row r="80" spans="6:18" ht="13" x14ac:dyDescent="0.15">
      <c r="F80" s="3"/>
      <c r="G80" s="3"/>
      <c r="R80" s="3"/>
    </row>
    <row r="81" spans="6:18" ht="13" x14ac:dyDescent="0.15">
      <c r="F81" s="3"/>
      <c r="G81" s="3"/>
      <c r="R81" s="3"/>
    </row>
    <row r="82" spans="6:18" ht="13" x14ac:dyDescent="0.15">
      <c r="F82" s="3"/>
      <c r="G82" s="3"/>
      <c r="R82" s="3"/>
    </row>
    <row r="83" spans="6:18" ht="13" x14ac:dyDescent="0.15">
      <c r="F83" s="3"/>
      <c r="G83" s="3"/>
      <c r="R83" s="3"/>
    </row>
    <row r="84" spans="6:18" ht="13" x14ac:dyDescent="0.15">
      <c r="F84" s="3"/>
      <c r="G84" s="3"/>
      <c r="R84" s="3"/>
    </row>
    <row r="85" spans="6:18" ht="13" x14ac:dyDescent="0.15">
      <c r="F85" s="3"/>
      <c r="G85" s="3"/>
      <c r="R85" s="3"/>
    </row>
    <row r="86" spans="6:18" ht="13" x14ac:dyDescent="0.15">
      <c r="F86" s="3"/>
      <c r="G86" s="3"/>
      <c r="R86" s="3"/>
    </row>
    <row r="87" spans="6:18" ht="13" x14ac:dyDescent="0.15">
      <c r="F87" s="3"/>
      <c r="G87" s="3"/>
      <c r="R87" s="3"/>
    </row>
    <row r="88" spans="6:18" ht="13" x14ac:dyDescent="0.15">
      <c r="F88" s="3"/>
      <c r="G88" s="3"/>
      <c r="R88" s="3"/>
    </row>
    <row r="89" spans="6:18" ht="13" x14ac:dyDescent="0.15">
      <c r="F89" s="3"/>
      <c r="G89" s="3"/>
      <c r="R89" s="3"/>
    </row>
    <row r="90" spans="6:18" ht="13" x14ac:dyDescent="0.15">
      <c r="F90" s="3"/>
      <c r="G90" s="3"/>
      <c r="R90" s="3"/>
    </row>
    <row r="91" spans="6:18" ht="13" x14ac:dyDescent="0.15">
      <c r="F91" s="3"/>
      <c r="G91" s="3"/>
      <c r="R91" s="3"/>
    </row>
    <row r="92" spans="6:18" ht="13" x14ac:dyDescent="0.15">
      <c r="F92" s="3"/>
      <c r="G92" s="3"/>
      <c r="R92" s="3"/>
    </row>
    <row r="93" spans="6:18" ht="13" x14ac:dyDescent="0.15">
      <c r="F93" s="3"/>
      <c r="G93" s="3"/>
      <c r="R93" s="3"/>
    </row>
    <row r="94" spans="6:18" ht="13" x14ac:dyDescent="0.15">
      <c r="F94" s="3"/>
      <c r="G94" s="3"/>
      <c r="R94" s="3"/>
    </row>
    <row r="95" spans="6:18" ht="13" x14ac:dyDescent="0.15">
      <c r="F95" s="3"/>
      <c r="G95" s="3"/>
      <c r="R95" s="3"/>
    </row>
    <row r="96" spans="6:18" ht="13" x14ac:dyDescent="0.15">
      <c r="F96" s="3"/>
      <c r="G96" s="3"/>
      <c r="R96" s="3"/>
    </row>
    <row r="97" spans="6:18" ht="13" x14ac:dyDescent="0.15">
      <c r="F97" s="3"/>
      <c r="G97" s="3"/>
      <c r="R97" s="3"/>
    </row>
    <row r="98" spans="6:18" ht="13" x14ac:dyDescent="0.15">
      <c r="F98" s="3"/>
      <c r="G98" s="3"/>
      <c r="R98" s="3"/>
    </row>
    <row r="99" spans="6:18" ht="13" x14ac:dyDescent="0.15">
      <c r="F99" s="3"/>
      <c r="G99" s="3"/>
      <c r="R99" s="3"/>
    </row>
    <row r="100" spans="6:18" ht="13" x14ac:dyDescent="0.15">
      <c r="F100" s="3"/>
      <c r="G100" s="3"/>
      <c r="R100" s="3"/>
    </row>
    <row r="101" spans="6:18" ht="13" x14ac:dyDescent="0.15">
      <c r="F101" s="3"/>
      <c r="G101" s="3"/>
      <c r="R101" s="3"/>
    </row>
    <row r="102" spans="6:18" ht="13" x14ac:dyDescent="0.15">
      <c r="F102" s="3"/>
      <c r="G102" s="3"/>
      <c r="R102" s="3"/>
    </row>
    <row r="103" spans="6:18" ht="13" x14ac:dyDescent="0.15">
      <c r="F103" s="3"/>
      <c r="G103" s="3"/>
      <c r="R103" s="3"/>
    </row>
    <row r="104" spans="6:18" ht="13" x14ac:dyDescent="0.15">
      <c r="F104" s="3"/>
      <c r="G104" s="3"/>
      <c r="R104" s="3"/>
    </row>
    <row r="105" spans="6:18" ht="13" x14ac:dyDescent="0.15">
      <c r="F105" s="3"/>
      <c r="G105" s="3"/>
      <c r="R105" s="3"/>
    </row>
    <row r="106" spans="6:18" ht="13" x14ac:dyDescent="0.15">
      <c r="F106" s="3"/>
      <c r="G106" s="3"/>
      <c r="R106" s="3"/>
    </row>
    <row r="107" spans="6:18" ht="13" x14ac:dyDescent="0.15">
      <c r="F107" s="3"/>
      <c r="G107" s="3"/>
      <c r="R107" s="3"/>
    </row>
    <row r="108" spans="6:18" ht="13" x14ac:dyDescent="0.15">
      <c r="F108" s="3"/>
      <c r="G108" s="3"/>
      <c r="R108" s="3"/>
    </row>
    <row r="109" spans="6:18" ht="13" x14ac:dyDescent="0.15">
      <c r="F109" s="3"/>
      <c r="G109" s="3"/>
      <c r="R109" s="3"/>
    </row>
    <row r="110" spans="6:18" ht="13" x14ac:dyDescent="0.15">
      <c r="F110" s="3"/>
      <c r="G110" s="3"/>
      <c r="R110" s="3"/>
    </row>
    <row r="111" spans="6:18" ht="13" x14ac:dyDescent="0.15">
      <c r="F111" s="3"/>
      <c r="G111" s="3"/>
      <c r="R111" s="3"/>
    </row>
    <row r="112" spans="6:18" ht="13" x14ac:dyDescent="0.15">
      <c r="F112" s="3"/>
      <c r="G112" s="3"/>
      <c r="R112" s="3"/>
    </row>
    <row r="113" spans="6:18" ht="13" x14ac:dyDescent="0.15">
      <c r="F113" s="3"/>
      <c r="G113" s="3"/>
      <c r="R113" s="3"/>
    </row>
    <row r="114" spans="6:18" ht="13" x14ac:dyDescent="0.15">
      <c r="F114" s="3"/>
      <c r="G114" s="3"/>
      <c r="R114" s="3"/>
    </row>
    <row r="115" spans="6:18" ht="13" x14ac:dyDescent="0.15">
      <c r="F115" s="3"/>
      <c r="G115" s="3"/>
      <c r="R115" s="3"/>
    </row>
    <row r="116" spans="6:18" ht="13" x14ac:dyDescent="0.15">
      <c r="F116" s="3"/>
      <c r="G116" s="3"/>
      <c r="R116" s="3"/>
    </row>
    <row r="117" spans="6:18" ht="13" x14ac:dyDescent="0.15">
      <c r="F117" s="3"/>
      <c r="G117" s="3"/>
      <c r="R117" s="3"/>
    </row>
    <row r="118" spans="6:18" ht="13" x14ac:dyDescent="0.15">
      <c r="F118" s="3"/>
      <c r="G118" s="3"/>
      <c r="R118" s="3"/>
    </row>
    <row r="119" spans="6:18" ht="13" x14ac:dyDescent="0.15">
      <c r="F119" s="3"/>
      <c r="G119" s="3"/>
      <c r="R119" s="3"/>
    </row>
    <row r="120" spans="6:18" ht="13" x14ac:dyDescent="0.15">
      <c r="F120" s="3"/>
      <c r="G120" s="3"/>
      <c r="R120" s="3"/>
    </row>
    <row r="121" spans="6:18" ht="13" x14ac:dyDescent="0.15">
      <c r="F121" s="3"/>
      <c r="G121" s="3"/>
      <c r="R121" s="3"/>
    </row>
    <row r="122" spans="6:18" ht="13" x14ac:dyDescent="0.15">
      <c r="F122" s="3"/>
      <c r="G122" s="3"/>
      <c r="R122" s="3"/>
    </row>
    <row r="123" spans="6:18" ht="13" x14ac:dyDescent="0.15">
      <c r="F123" s="3"/>
      <c r="G123" s="3"/>
      <c r="R123" s="3"/>
    </row>
    <row r="124" spans="6:18" ht="13" x14ac:dyDescent="0.15">
      <c r="F124" s="3"/>
      <c r="G124" s="3"/>
      <c r="R124" s="3"/>
    </row>
    <row r="125" spans="6:18" ht="13" x14ac:dyDescent="0.15">
      <c r="F125" s="3"/>
      <c r="G125" s="3"/>
      <c r="R125" s="3"/>
    </row>
    <row r="126" spans="6:18" ht="13" x14ac:dyDescent="0.15">
      <c r="F126" s="3"/>
      <c r="G126" s="3"/>
      <c r="R126" s="3"/>
    </row>
    <row r="127" spans="6:18" ht="13" x14ac:dyDescent="0.15">
      <c r="F127" s="3"/>
      <c r="G127" s="3"/>
      <c r="R127" s="3"/>
    </row>
    <row r="128" spans="6:18" ht="13" x14ac:dyDescent="0.15">
      <c r="F128" s="3"/>
      <c r="G128" s="3"/>
      <c r="R128" s="3"/>
    </row>
    <row r="129" spans="6:18" ht="13" x14ac:dyDescent="0.15">
      <c r="F129" s="3"/>
      <c r="G129" s="3"/>
      <c r="R129" s="3"/>
    </row>
    <row r="130" spans="6:18" ht="13" x14ac:dyDescent="0.15">
      <c r="F130" s="3"/>
      <c r="G130" s="3"/>
      <c r="R130" s="3"/>
    </row>
    <row r="131" spans="6:18" ht="13" x14ac:dyDescent="0.15">
      <c r="F131" s="3"/>
      <c r="G131" s="3"/>
      <c r="R131" s="3"/>
    </row>
    <row r="132" spans="6:18" ht="13" x14ac:dyDescent="0.15">
      <c r="F132" s="3"/>
      <c r="G132" s="3"/>
      <c r="R132" s="3"/>
    </row>
    <row r="133" spans="6:18" ht="13" x14ac:dyDescent="0.15">
      <c r="F133" s="3"/>
      <c r="G133" s="3"/>
      <c r="R133" s="3"/>
    </row>
    <row r="134" spans="6:18" ht="13" x14ac:dyDescent="0.15">
      <c r="F134" s="3"/>
      <c r="G134" s="3"/>
      <c r="R134" s="3"/>
    </row>
    <row r="135" spans="6:18" ht="13" x14ac:dyDescent="0.15">
      <c r="F135" s="3"/>
      <c r="G135" s="3"/>
      <c r="R135" s="3"/>
    </row>
    <row r="136" spans="6:18" ht="13" x14ac:dyDescent="0.15">
      <c r="F136" s="3"/>
      <c r="G136" s="3"/>
      <c r="R136" s="3"/>
    </row>
    <row r="137" spans="6:18" ht="13" x14ac:dyDescent="0.15">
      <c r="F137" s="3"/>
      <c r="G137" s="3"/>
      <c r="R137" s="3"/>
    </row>
    <row r="138" spans="6:18" ht="13" x14ac:dyDescent="0.15">
      <c r="F138" s="3"/>
      <c r="G138" s="3"/>
      <c r="R138" s="3"/>
    </row>
    <row r="139" spans="6:18" ht="13" x14ac:dyDescent="0.15">
      <c r="F139" s="3"/>
      <c r="G139" s="3"/>
      <c r="R139" s="3"/>
    </row>
    <row r="140" spans="6:18" ht="13" x14ac:dyDescent="0.15">
      <c r="F140" s="3"/>
      <c r="G140" s="3"/>
      <c r="R140" s="3"/>
    </row>
    <row r="141" spans="6:18" ht="13" x14ac:dyDescent="0.15">
      <c r="F141" s="3"/>
      <c r="G141" s="3"/>
      <c r="R141" s="3"/>
    </row>
    <row r="142" spans="6:18" ht="13" x14ac:dyDescent="0.15">
      <c r="F142" s="3"/>
      <c r="G142" s="3"/>
      <c r="R142" s="3"/>
    </row>
    <row r="143" spans="6:18" ht="13" x14ac:dyDescent="0.15">
      <c r="F143" s="3"/>
      <c r="G143" s="3"/>
      <c r="R143" s="3"/>
    </row>
    <row r="144" spans="6:18" ht="13" x14ac:dyDescent="0.15">
      <c r="F144" s="3"/>
      <c r="G144" s="3"/>
      <c r="R144" s="3"/>
    </row>
    <row r="145" spans="6:18" ht="13" x14ac:dyDescent="0.15">
      <c r="F145" s="3"/>
      <c r="G145" s="3"/>
      <c r="R145" s="3"/>
    </row>
    <row r="146" spans="6:18" ht="13" x14ac:dyDescent="0.15">
      <c r="F146" s="3"/>
      <c r="G146" s="3"/>
      <c r="R146" s="3"/>
    </row>
    <row r="147" spans="6:18" ht="13" x14ac:dyDescent="0.15">
      <c r="F147" s="3"/>
      <c r="G147" s="3"/>
      <c r="R147" s="3"/>
    </row>
    <row r="148" spans="6:18" ht="13" x14ac:dyDescent="0.15">
      <c r="F148" s="3"/>
      <c r="G148" s="3"/>
      <c r="R148" s="3"/>
    </row>
    <row r="149" spans="6:18" ht="13" x14ac:dyDescent="0.15">
      <c r="F149" s="3"/>
      <c r="G149" s="3"/>
      <c r="R149" s="3"/>
    </row>
    <row r="150" spans="6:18" ht="13" x14ac:dyDescent="0.15">
      <c r="F150" s="3"/>
      <c r="G150" s="3"/>
      <c r="R150" s="3"/>
    </row>
    <row r="151" spans="6:18" ht="13" x14ac:dyDescent="0.15">
      <c r="F151" s="3"/>
      <c r="G151" s="3"/>
      <c r="R151" s="3"/>
    </row>
    <row r="152" spans="6:18" ht="13" x14ac:dyDescent="0.15">
      <c r="F152" s="3"/>
      <c r="G152" s="3"/>
      <c r="R152" s="3"/>
    </row>
    <row r="153" spans="6:18" ht="13" x14ac:dyDescent="0.15">
      <c r="F153" s="3"/>
      <c r="G153" s="3"/>
      <c r="R153" s="3"/>
    </row>
    <row r="154" spans="6:18" ht="13" x14ac:dyDescent="0.15">
      <c r="F154" s="3"/>
      <c r="G154" s="3"/>
      <c r="R154" s="3"/>
    </row>
    <row r="155" spans="6:18" ht="13" x14ac:dyDescent="0.15">
      <c r="F155" s="3"/>
      <c r="G155" s="3"/>
      <c r="R155" s="3"/>
    </row>
    <row r="156" spans="6:18" ht="13" x14ac:dyDescent="0.15">
      <c r="F156" s="3"/>
      <c r="G156" s="3"/>
      <c r="R156" s="3"/>
    </row>
    <row r="157" spans="6:18" ht="13" x14ac:dyDescent="0.15">
      <c r="F157" s="3"/>
      <c r="G157" s="3"/>
      <c r="R157" s="3"/>
    </row>
    <row r="158" spans="6:18" ht="13" x14ac:dyDescent="0.15">
      <c r="F158" s="3"/>
      <c r="G158" s="3"/>
      <c r="R158" s="3"/>
    </row>
    <row r="159" spans="6:18" ht="13" x14ac:dyDescent="0.15">
      <c r="F159" s="3"/>
      <c r="G159" s="3"/>
      <c r="R159" s="3"/>
    </row>
    <row r="160" spans="6:18" ht="13" x14ac:dyDescent="0.15">
      <c r="F160" s="3"/>
      <c r="G160" s="3"/>
      <c r="R160" s="3"/>
    </row>
    <row r="161" spans="6:18" ht="13" x14ac:dyDescent="0.15">
      <c r="F161" s="3"/>
      <c r="G161" s="3"/>
      <c r="R161" s="3"/>
    </row>
    <row r="162" spans="6:18" ht="13" x14ac:dyDescent="0.15">
      <c r="F162" s="3"/>
      <c r="G162" s="3"/>
      <c r="R162" s="3"/>
    </row>
    <row r="163" spans="6:18" ht="13" x14ac:dyDescent="0.15">
      <c r="F163" s="3"/>
      <c r="G163" s="3"/>
      <c r="R163" s="3"/>
    </row>
    <row r="164" spans="6:18" ht="13" x14ac:dyDescent="0.15">
      <c r="F164" s="3"/>
      <c r="G164" s="3"/>
      <c r="R164" s="3"/>
    </row>
    <row r="165" spans="6:18" ht="13" x14ac:dyDescent="0.15">
      <c r="F165" s="3"/>
      <c r="G165" s="3"/>
      <c r="R165" s="3"/>
    </row>
    <row r="166" spans="6:18" ht="13" x14ac:dyDescent="0.15">
      <c r="F166" s="3"/>
      <c r="G166" s="3"/>
      <c r="R166" s="3"/>
    </row>
    <row r="167" spans="6:18" ht="13" x14ac:dyDescent="0.15">
      <c r="F167" s="3"/>
      <c r="G167" s="3"/>
      <c r="R167" s="3"/>
    </row>
    <row r="168" spans="6:18" ht="13" x14ac:dyDescent="0.15">
      <c r="F168" s="3"/>
      <c r="G168" s="3"/>
      <c r="R168" s="3"/>
    </row>
    <row r="169" spans="6:18" ht="13" x14ac:dyDescent="0.15">
      <c r="F169" s="3"/>
      <c r="G169" s="3"/>
      <c r="R169" s="3"/>
    </row>
    <row r="170" spans="6:18" ht="13" x14ac:dyDescent="0.15">
      <c r="F170" s="3"/>
      <c r="G170" s="3"/>
      <c r="R170" s="3"/>
    </row>
    <row r="171" spans="6:18" ht="13" x14ac:dyDescent="0.15">
      <c r="F171" s="3"/>
      <c r="G171" s="3"/>
      <c r="R171" s="3"/>
    </row>
    <row r="172" spans="6:18" ht="13" x14ac:dyDescent="0.15">
      <c r="F172" s="3"/>
      <c r="G172" s="3"/>
      <c r="R172" s="3"/>
    </row>
    <row r="173" spans="6:18" ht="13" x14ac:dyDescent="0.15">
      <c r="F173" s="3"/>
      <c r="G173" s="3"/>
      <c r="R173" s="3"/>
    </row>
    <row r="174" spans="6:18" ht="13" x14ac:dyDescent="0.15">
      <c r="F174" s="3"/>
      <c r="G174" s="3"/>
      <c r="R174" s="3"/>
    </row>
    <row r="175" spans="6:18" ht="13" x14ac:dyDescent="0.15">
      <c r="F175" s="3"/>
      <c r="G175" s="3"/>
      <c r="R175" s="3"/>
    </row>
    <row r="176" spans="6:18" ht="13" x14ac:dyDescent="0.15">
      <c r="F176" s="3"/>
      <c r="G176" s="3"/>
      <c r="R176" s="3"/>
    </row>
    <row r="177" spans="6:18" ht="13" x14ac:dyDescent="0.15">
      <c r="F177" s="3"/>
      <c r="G177" s="3"/>
      <c r="R177" s="3"/>
    </row>
    <row r="178" spans="6:18" ht="13" x14ac:dyDescent="0.15">
      <c r="F178" s="3"/>
      <c r="G178" s="3"/>
      <c r="R178" s="3"/>
    </row>
    <row r="179" spans="6:18" ht="13" x14ac:dyDescent="0.15">
      <c r="F179" s="3"/>
      <c r="G179" s="3"/>
      <c r="R179" s="3"/>
    </row>
    <row r="180" spans="6:18" ht="13" x14ac:dyDescent="0.15">
      <c r="F180" s="3"/>
      <c r="G180" s="3"/>
      <c r="R180" s="3"/>
    </row>
    <row r="181" spans="6:18" ht="13" x14ac:dyDescent="0.15">
      <c r="F181" s="3"/>
      <c r="G181" s="3"/>
      <c r="R181" s="3"/>
    </row>
    <row r="182" spans="6:18" ht="13" x14ac:dyDescent="0.15">
      <c r="F182" s="3"/>
      <c r="G182" s="3"/>
      <c r="R182" s="3"/>
    </row>
    <row r="183" spans="6:18" ht="13" x14ac:dyDescent="0.15">
      <c r="F183" s="3"/>
      <c r="G183" s="3"/>
      <c r="R183" s="3"/>
    </row>
    <row r="184" spans="6:18" ht="13" x14ac:dyDescent="0.15">
      <c r="F184" s="3"/>
      <c r="G184" s="3"/>
      <c r="R184" s="3"/>
    </row>
    <row r="185" spans="6:18" ht="13" x14ac:dyDescent="0.15">
      <c r="F185" s="3"/>
      <c r="G185" s="3"/>
      <c r="R185" s="3"/>
    </row>
    <row r="186" spans="6:18" ht="13" x14ac:dyDescent="0.15">
      <c r="F186" s="3"/>
      <c r="G186" s="3"/>
      <c r="R186" s="3"/>
    </row>
    <row r="187" spans="6:18" ht="13" x14ac:dyDescent="0.15">
      <c r="F187" s="3"/>
      <c r="G187" s="3"/>
      <c r="R187" s="3"/>
    </row>
    <row r="188" spans="6:18" ht="13" x14ac:dyDescent="0.15">
      <c r="F188" s="3"/>
      <c r="G188" s="3"/>
      <c r="R188" s="3"/>
    </row>
    <row r="189" spans="6:18" ht="13" x14ac:dyDescent="0.15">
      <c r="F189" s="3"/>
      <c r="G189" s="3"/>
      <c r="R189" s="3"/>
    </row>
    <row r="190" spans="6:18" ht="13" x14ac:dyDescent="0.15">
      <c r="F190" s="3"/>
      <c r="G190" s="3"/>
      <c r="R190" s="3"/>
    </row>
    <row r="191" spans="6:18" ht="13" x14ac:dyDescent="0.15">
      <c r="F191" s="3"/>
      <c r="G191" s="3"/>
      <c r="R191" s="3"/>
    </row>
    <row r="192" spans="6:18" ht="13" x14ac:dyDescent="0.15">
      <c r="F192" s="3"/>
      <c r="G192" s="3"/>
      <c r="R192" s="3"/>
    </row>
    <row r="193" spans="6:18" ht="13" x14ac:dyDescent="0.15">
      <c r="F193" s="3"/>
      <c r="G193" s="3"/>
      <c r="R193" s="3"/>
    </row>
    <row r="194" spans="6:18" ht="13" x14ac:dyDescent="0.15">
      <c r="F194" s="3"/>
      <c r="G194" s="3"/>
      <c r="R194" s="3"/>
    </row>
    <row r="195" spans="6:18" ht="13" x14ac:dyDescent="0.15">
      <c r="F195" s="3"/>
      <c r="G195" s="3"/>
      <c r="R195" s="3"/>
    </row>
    <row r="196" spans="6:18" ht="13" x14ac:dyDescent="0.15">
      <c r="F196" s="3"/>
      <c r="G196" s="3"/>
      <c r="R196" s="3"/>
    </row>
    <row r="197" spans="6:18" ht="13" x14ac:dyDescent="0.15">
      <c r="F197" s="3"/>
      <c r="G197" s="3"/>
      <c r="R197" s="3"/>
    </row>
    <row r="198" spans="6:18" ht="13" x14ac:dyDescent="0.15">
      <c r="F198" s="3"/>
      <c r="G198" s="3"/>
      <c r="R198" s="3"/>
    </row>
    <row r="199" spans="6:18" ht="13" x14ac:dyDescent="0.15">
      <c r="F199" s="3"/>
      <c r="G199" s="3"/>
      <c r="R199" s="3"/>
    </row>
    <row r="200" spans="6:18" ht="13" x14ac:dyDescent="0.15">
      <c r="F200" s="3"/>
      <c r="G200" s="3"/>
      <c r="R200" s="3"/>
    </row>
    <row r="201" spans="6:18" ht="13" x14ac:dyDescent="0.15">
      <c r="F201" s="3"/>
      <c r="G201" s="3"/>
      <c r="R201" s="3"/>
    </row>
    <row r="202" spans="6:18" ht="13" x14ac:dyDescent="0.15">
      <c r="F202" s="3"/>
      <c r="G202" s="3"/>
      <c r="R202" s="3"/>
    </row>
    <row r="203" spans="6:18" ht="13" x14ac:dyDescent="0.15">
      <c r="F203" s="3"/>
      <c r="G203" s="3"/>
      <c r="R203" s="3"/>
    </row>
    <row r="204" spans="6:18" ht="13" x14ac:dyDescent="0.15">
      <c r="F204" s="3"/>
      <c r="G204" s="3"/>
      <c r="R204" s="3"/>
    </row>
    <row r="205" spans="6:18" ht="13" x14ac:dyDescent="0.15">
      <c r="F205" s="3"/>
      <c r="G205" s="3"/>
      <c r="R205" s="3"/>
    </row>
    <row r="206" spans="6:18" ht="13" x14ac:dyDescent="0.15">
      <c r="F206" s="3"/>
      <c r="G206" s="3"/>
      <c r="R206" s="3"/>
    </row>
    <row r="207" spans="6:18" ht="13" x14ac:dyDescent="0.15">
      <c r="F207" s="3"/>
      <c r="G207" s="3"/>
      <c r="R207" s="3"/>
    </row>
    <row r="208" spans="6:18" ht="13" x14ac:dyDescent="0.15">
      <c r="F208" s="3"/>
      <c r="G208" s="3"/>
      <c r="R208" s="3"/>
    </row>
    <row r="209" spans="6:18" ht="13" x14ac:dyDescent="0.15">
      <c r="F209" s="3"/>
      <c r="G209" s="3"/>
      <c r="R209" s="3"/>
    </row>
    <row r="210" spans="6:18" ht="13" x14ac:dyDescent="0.15">
      <c r="F210" s="3"/>
      <c r="G210" s="3"/>
      <c r="R210" s="3"/>
    </row>
    <row r="211" spans="6:18" ht="13" x14ac:dyDescent="0.15">
      <c r="F211" s="3"/>
      <c r="G211" s="3"/>
      <c r="R211" s="3"/>
    </row>
    <row r="212" spans="6:18" ht="13" x14ac:dyDescent="0.15">
      <c r="F212" s="3"/>
      <c r="G212" s="3"/>
      <c r="R212" s="3"/>
    </row>
    <row r="213" spans="6:18" ht="13" x14ac:dyDescent="0.15">
      <c r="F213" s="3"/>
      <c r="G213" s="3"/>
      <c r="R213" s="3"/>
    </row>
    <row r="214" spans="6:18" ht="13" x14ac:dyDescent="0.15">
      <c r="F214" s="3"/>
      <c r="G214" s="3"/>
      <c r="R214" s="3"/>
    </row>
    <row r="215" spans="6:18" ht="13" x14ac:dyDescent="0.15">
      <c r="F215" s="3"/>
      <c r="G215" s="3"/>
      <c r="R215" s="3"/>
    </row>
    <row r="216" spans="6:18" ht="13" x14ac:dyDescent="0.15">
      <c r="F216" s="3"/>
      <c r="G216" s="3"/>
      <c r="R216" s="3"/>
    </row>
    <row r="217" spans="6:18" ht="13" x14ac:dyDescent="0.15">
      <c r="F217" s="3"/>
      <c r="G217" s="3"/>
      <c r="R217" s="3"/>
    </row>
    <row r="218" spans="6:18" ht="13" x14ac:dyDescent="0.15">
      <c r="F218" s="3"/>
      <c r="G218" s="3"/>
      <c r="R218" s="3"/>
    </row>
    <row r="219" spans="6:18" ht="13" x14ac:dyDescent="0.15">
      <c r="F219" s="3"/>
      <c r="G219" s="3"/>
      <c r="R219" s="3"/>
    </row>
    <row r="220" spans="6:18" ht="13" x14ac:dyDescent="0.15">
      <c r="F220" s="3"/>
      <c r="G220" s="3"/>
      <c r="R220" s="3"/>
    </row>
    <row r="221" spans="6:18" ht="13" x14ac:dyDescent="0.15">
      <c r="F221" s="3"/>
      <c r="G221" s="3"/>
      <c r="R221" s="3"/>
    </row>
    <row r="222" spans="6:18" ht="13" x14ac:dyDescent="0.15">
      <c r="F222" s="3"/>
      <c r="G222" s="3"/>
      <c r="R222" s="3"/>
    </row>
    <row r="223" spans="6:18" ht="13" x14ac:dyDescent="0.15">
      <c r="F223" s="3"/>
      <c r="G223" s="3"/>
      <c r="R223" s="3"/>
    </row>
    <row r="224" spans="6:18" ht="13" x14ac:dyDescent="0.15">
      <c r="F224" s="3"/>
      <c r="G224" s="3"/>
      <c r="R224" s="3"/>
    </row>
    <row r="225" spans="6:18" ht="13" x14ac:dyDescent="0.15">
      <c r="F225" s="3"/>
      <c r="G225" s="3"/>
      <c r="R225" s="3"/>
    </row>
    <row r="226" spans="6:18" ht="13" x14ac:dyDescent="0.15">
      <c r="F226" s="3"/>
      <c r="G226" s="3"/>
      <c r="R226" s="3"/>
    </row>
    <row r="227" spans="6:18" ht="13" x14ac:dyDescent="0.15">
      <c r="F227" s="3"/>
      <c r="G227" s="3"/>
      <c r="R227" s="3"/>
    </row>
    <row r="228" spans="6:18" ht="13" x14ac:dyDescent="0.15">
      <c r="F228" s="3"/>
      <c r="G228" s="3"/>
      <c r="R228" s="3"/>
    </row>
    <row r="229" spans="6:18" ht="13" x14ac:dyDescent="0.15">
      <c r="F229" s="3"/>
      <c r="G229" s="3"/>
      <c r="R229" s="3"/>
    </row>
    <row r="230" spans="6:18" ht="13" x14ac:dyDescent="0.15">
      <c r="F230" s="3"/>
      <c r="G230" s="3"/>
      <c r="R230" s="3"/>
    </row>
    <row r="231" spans="6:18" ht="13" x14ac:dyDescent="0.15">
      <c r="F231" s="3"/>
      <c r="G231" s="3"/>
      <c r="R231" s="3"/>
    </row>
    <row r="232" spans="6:18" ht="13" x14ac:dyDescent="0.15">
      <c r="F232" s="3"/>
      <c r="G232" s="3"/>
      <c r="R232" s="3"/>
    </row>
    <row r="233" spans="6:18" ht="13" x14ac:dyDescent="0.15">
      <c r="F233" s="3"/>
      <c r="G233" s="3"/>
      <c r="R233" s="3"/>
    </row>
    <row r="234" spans="6:18" ht="13" x14ac:dyDescent="0.15">
      <c r="F234" s="3"/>
      <c r="G234" s="3"/>
      <c r="R234" s="3"/>
    </row>
    <row r="235" spans="6:18" ht="13" x14ac:dyDescent="0.15">
      <c r="F235" s="3"/>
      <c r="G235" s="3"/>
      <c r="R235" s="3"/>
    </row>
    <row r="236" spans="6:18" ht="13" x14ac:dyDescent="0.15">
      <c r="F236" s="3"/>
      <c r="G236" s="3"/>
      <c r="R236" s="3"/>
    </row>
    <row r="237" spans="6:18" ht="13" x14ac:dyDescent="0.15">
      <c r="F237" s="3"/>
      <c r="G237" s="3"/>
      <c r="R237" s="3"/>
    </row>
    <row r="238" spans="6:18" ht="13" x14ac:dyDescent="0.15">
      <c r="F238" s="3"/>
      <c r="G238" s="3"/>
      <c r="R238" s="3"/>
    </row>
    <row r="239" spans="6:18" ht="13" x14ac:dyDescent="0.15">
      <c r="F239" s="3"/>
      <c r="G239" s="3"/>
      <c r="R239" s="3"/>
    </row>
    <row r="240" spans="6:18" ht="13" x14ac:dyDescent="0.15">
      <c r="F240" s="3"/>
      <c r="G240" s="3"/>
      <c r="R240" s="3"/>
    </row>
    <row r="241" spans="6:18" ht="13" x14ac:dyDescent="0.15">
      <c r="F241" s="3"/>
      <c r="G241" s="3"/>
      <c r="R241" s="3"/>
    </row>
    <row r="242" spans="6:18" ht="13" x14ac:dyDescent="0.15">
      <c r="F242" s="3"/>
      <c r="G242" s="3"/>
      <c r="R242" s="3"/>
    </row>
    <row r="243" spans="6:18" ht="13" x14ac:dyDescent="0.15">
      <c r="F243" s="3"/>
      <c r="G243" s="3"/>
      <c r="R243" s="3"/>
    </row>
    <row r="244" spans="6:18" ht="13" x14ac:dyDescent="0.15">
      <c r="F244" s="3"/>
      <c r="G244" s="3"/>
      <c r="R244" s="3"/>
    </row>
    <row r="245" spans="6:18" ht="13" x14ac:dyDescent="0.15">
      <c r="F245" s="3"/>
      <c r="G245" s="3"/>
      <c r="R245" s="3"/>
    </row>
    <row r="246" spans="6:18" ht="13" x14ac:dyDescent="0.15">
      <c r="F246" s="3"/>
      <c r="G246" s="3"/>
      <c r="R246" s="3"/>
    </row>
    <row r="247" spans="6:18" ht="13" x14ac:dyDescent="0.15">
      <c r="F247" s="3"/>
      <c r="G247" s="3"/>
      <c r="R247" s="3"/>
    </row>
    <row r="248" spans="6:18" ht="13" x14ac:dyDescent="0.15">
      <c r="F248" s="3"/>
      <c r="G248" s="3"/>
      <c r="R248" s="3"/>
    </row>
    <row r="249" spans="6:18" ht="13" x14ac:dyDescent="0.15">
      <c r="F249" s="3"/>
      <c r="G249" s="3"/>
      <c r="R249" s="3"/>
    </row>
    <row r="250" spans="6:18" ht="13" x14ac:dyDescent="0.15">
      <c r="F250" s="3"/>
      <c r="G250" s="3"/>
      <c r="R250" s="3"/>
    </row>
    <row r="251" spans="6:18" ht="13" x14ac:dyDescent="0.15">
      <c r="F251" s="3"/>
      <c r="G251" s="3"/>
      <c r="R251" s="3"/>
    </row>
    <row r="252" spans="6:18" ht="13" x14ac:dyDescent="0.15">
      <c r="F252" s="3"/>
      <c r="G252" s="3"/>
      <c r="R252" s="3"/>
    </row>
    <row r="253" spans="6:18" ht="13" x14ac:dyDescent="0.15">
      <c r="F253" s="3"/>
      <c r="G253" s="3"/>
      <c r="R253" s="3"/>
    </row>
    <row r="254" spans="6:18" ht="13" x14ac:dyDescent="0.15">
      <c r="F254" s="3"/>
      <c r="G254" s="3"/>
      <c r="R254" s="3"/>
    </row>
    <row r="255" spans="6:18" ht="13" x14ac:dyDescent="0.15">
      <c r="F255" s="3"/>
      <c r="G255" s="3"/>
      <c r="R255" s="3"/>
    </row>
    <row r="256" spans="6:18" ht="13" x14ac:dyDescent="0.15">
      <c r="F256" s="3"/>
      <c r="G256" s="3"/>
      <c r="R256" s="3"/>
    </row>
    <row r="257" spans="6:18" ht="13" x14ac:dyDescent="0.15">
      <c r="F257" s="3"/>
      <c r="G257" s="3"/>
      <c r="R257" s="3"/>
    </row>
    <row r="258" spans="6:18" ht="13" x14ac:dyDescent="0.15">
      <c r="F258" s="3"/>
      <c r="G258" s="3"/>
      <c r="R258" s="3"/>
    </row>
    <row r="259" spans="6:18" ht="13" x14ac:dyDescent="0.15">
      <c r="F259" s="3"/>
      <c r="G259" s="3"/>
      <c r="R259" s="3"/>
    </row>
    <row r="260" spans="6:18" ht="13" x14ac:dyDescent="0.15">
      <c r="F260" s="3"/>
      <c r="G260" s="3"/>
      <c r="R260" s="3"/>
    </row>
    <row r="261" spans="6:18" ht="13" x14ac:dyDescent="0.15">
      <c r="F261" s="3"/>
      <c r="G261" s="3"/>
      <c r="R261" s="3"/>
    </row>
    <row r="262" spans="6:18" ht="13" x14ac:dyDescent="0.15">
      <c r="F262" s="3"/>
      <c r="G262" s="3"/>
      <c r="R262" s="3"/>
    </row>
    <row r="263" spans="6:18" ht="13" x14ac:dyDescent="0.15">
      <c r="F263" s="3"/>
      <c r="G263" s="3"/>
      <c r="R263" s="3"/>
    </row>
    <row r="264" spans="6:18" ht="13" x14ac:dyDescent="0.15">
      <c r="F264" s="3"/>
      <c r="G264" s="3"/>
      <c r="R264" s="3"/>
    </row>
    <row r="265" spans="6:18" ht="13" x14ac:dyDescent="0.15">
      <c r="F265" s="3"/>
      <c r="G265" s="3"/>
      <c r="R265" s="3"/>
    </row>
    <row r="266" spans="6:18" ht="13" x14ac:dyDescent="0.15">
      <c r="F266" s="3"/>
      <c r="G266" s="3"/>
      <c r="R266" s="3"/>
    </row>
    <row r="267" spans="6:18" ht="13" x14ac:dyDescent="0.15">
      <c r="F267" s="3"/>
      <c r="G267" s="3"/>
      <c r="R267" s="3"/>
    </row>
    <row r="268" spans="6:18" ht="13" x14ac:dyDescent="0.15">
      <c r="F268" s="3"/>
      <c r="G268" s="3"/>
      <c r="R268" s="3"/>
    </row>
    <row r="269" spans="6:18" ht="13" x14ac:dyDescent="0.15">
      <c r="F269" s="3"/>
      <c r="G269" s="3"/>
      <c r="R269" s="3"/>
    </row>
    <row r="270" spans="6:18" ht="13" x14ac:dyDescent="0.15">
      <c r="F270" s="3"/>
      <c r="G270" s="3"/>
      <c r="R270" s="3"/>
    </row>
    <row r="271" spans="6:18" ht="13" x14ac:dyDescent="0.15">
      <c r="F271" s="3"/>
      <c r="G271" s="3"/>
      <c r="R271" s="3"/>
    </row>
    <row r="272" spans="6:18" ht="13" x14ac:dyDescent="0.15">
      <c r="F272" s="3"/>
      <c r="G272" s="3"/>
      <c r="R272" s="3"/>
    </row>
    <row r="273" spans="6:18" ht="13" x14ac:dyDescent="0.15">
      <c r="F273" s="3"/>
      <c r="G273" s="3"/>
      <c r="R273" s="3"/>
    </row>
    <row r="274" spans="6:18" ht="13" x14ac:dyDescent="0.15">
      <c r="F274" s="3"/>
      <c r="G274" s="3"/>
      <c r="R274" s="3"/>
    </row>
    <row r="275" spans="6:18" ht="13" x14ac:dyDescent="0.15">
      <c r="F275" s="3"/>
      <c r="G275" s="3"/>
      <c r="R275" s="3"/>
    </row>
    <row r="276" spans="6:18" ht="13" x14ac:dyDescent="0.15">
      <c r="F276" s="3"/>
      <c r="G276" s="3"/>
      <c r="R276" s="3"/>
    </row>
    <row r="277" spans="6:18" ht="13" x14ac:dyDescent="0.15">
      <c r="F277" s="3"/>
      <c r="G277" s="3"/>
      <c r="R277" s="3"/>
    </row>
    <row r="278" spans="6:18" ht="13" x14ac:dyDescent="0.15">
      <c r="F278" s="3"/>
      <c r="G278" s="3"/>
      <c r="R278" s="3"/>
    </row>
    <row r="279" spans="6:18" ht="13" x14ac:dyDescent="0.15">
      <c r="F279" s="3"/>
      <c r="G279" s="3"/>
      <c r="R279" s="3"/>
    </row>
    <row r="280" spans="6:18" ht="13" x14ac:dyDescent="0.15">
      <c r="F280" s="3"/>
      <c r="G280" s="3"/>
      <c r="R280" s="3"/>
    </row>
    <row r="281" spans="6:18" ht="13" x14ac:dyDescent="0.15">
      <c r="F281" s="3"/>
      <c r="G281" s="3"/>
      <c r="R281" s="3"/>
    </row>
    <row r="282" spans="6:18" ht="13" x14ac:dyDescent="0.15">
      <c r="F282" s="3"/>
      <c r="G282" s="3"/>
      <c r="R282" s="3"/>
    </row>
    <row r="283" spans="6:18" ht="13" x14ac:dyDescent="0.15">
      <c r="F283" s="3"/>
      <c r="G283" s="3"/>
      <c r="R283" s="3"/>
    </row>
    <row r="284" spans="6:18" ht="13" x14ac:dyDescent="0.15">
      <c r="F284" s="3"/>
      <c r="G284" s="3"/>
      <c r="R284" s="3"/>
    </row>
    <row r="285" spans="6:18" ht="13" x14ac:dyDescent="0.15">
      <c r="F285" s="3"/>
      <c r="G285" s="3"/>
      <c r="R285" s="3"/>
    </row>
    <row r="286" spans="6:18" ht="13" x14ac:dyDescent="0.15">
      <c r="F286" s="3"/>
      <c r="G286" s="3"/>
      <c r="R286" s="3"/>
    </row>
    <row r="287" spans="6:18" ht="13" x14ac:dyDescent="0.15">
      <c r="F287" s="3"/>
      <c r="G287" s="3"/>
      <c r="R287" s="3"/>
    </row>
    <row r="288" spans="6:18" ht="13" x14ac:dyDescent="0.15">
      <c r="F288" s="3"/>
      <c r="G288" s="3"/>
      <c r="R288" s="3"/>
    </row>
    <row r="289" spans="6:18" ht="13" x14ac:dyDescent="0.15">
      <c r="F289" s="3"/>
      <c r="G289" s="3"/>
      <c r="R289" s="3"/>
    </row>
    <row r="290" spans="6:18" ht="13" x14ac:dyDescent="0.15">
      <c r="F290" s="3"/>
      <c r="G290" s="3"/>
      <c r="R290" s="3"/>
    </row>
    <row r="291" spans="6:18" ht="13" x14ac:dyDescent="0.15">
      <c r="F291" s="3"/>
      <c r="G291" s="3"/>
      <c r="R291" s="3"/>
    </row>
    <row r="292" spans="6:18" ht="13" x14ac:dyDescent="0.15">
      <c r="F292" s="3"/>
      <c r="G292" s="3"/>
      <c r="R292" s="3"/>
    </row>
    <row r="293" spans="6:18" ht="13" x14ac:dyDescent="0.15">
      <c r="F293" s="3"/>
      <c r="G293" s="3"/>
      <c r="R293" s="3"/>
    </row>
    <row r="294" spans="6:18" ht="13" x14ac:dyDescent="0.15">
      <c r="F294" s="3"/>
      <c r="G294" s="3"/>
      <c r="R294" s="3"/>
    </row>
    <row r="295" spans="6:18" ht="13" x14ac:dyDescent="0.15">
      <c r="F295" s="3"/>
      <c r="G295" s="3"/>
      <c r="R295" s="3"/>
    </row>
    <row r="296" spans="6:18" ht="13" x14ac:dyDescent="0.15">
      <c r="F296" s="3"/>
      <c r="G296" s="3"/>
      <c r="R296" s="3"/>
    </row>
    <row r="297" spans="6:18" ht="13" x14ac:dyDescent="0.15">
      <c r="F297" s="3"/>
      <c r="G297" s="3"/>
      <c r="R297" s="3"/>
    </row>
    <row r="298" spans="6:18" ht="13" x14ac:dyDescent="0.15">
      <c r="F298" s="3"/>
      <c r="G298" s="3"/>
      <c r="R298" s="3"/>
    </row>
    <row r="299" spans="6:18" ht="13" x14ac:dyDescent="0.15">
      <c r="F299" s="3"/>
      <c r="G299" s="3"/>
      <c r="R299" s="3"/>
    </row>
    <row r="300" spans="6:18" ht="13" x14ac:dyDescent="0.15">
      <c r="F300" s="3"/>
      <c r="G300" s="3"/>
      <c r="R300" s="3"/>
    </row>
    <row r="301" spans="6:18" ht="13" x14ac:dyDescent="0.15">
      <c r="F301" s="3"/>
      <c r="G301" s="3"/>
      <c r="R301" s="3"/>
    </row>
    <row r="302" spans="6:18" ht="13" x14ac:dyDescent="0.15">
      <c r="F302" s="3"/>
      <c r="G302" s="3"/>
      <c r="R302" s="3"/>
    </row>
    <row r="303" spans="6:18" ht="13" x14ac:dyDescent="0.15">
      <c r="F303" s="3"/>
      <c r="G303" s="3"/>
      <c r="R303" s="3"/>
    </row>
    <row r="304" spans="6:18" ht="13" x14ac:dyDescent="0.15">
      <c r="F304" s="3"/>
      <c r="G304" s="3"/>
      <c r="R304" s="3"/>
    </row>
    <row r="305" spans="6:18" ht="13" x14ac:dyDescent="0.15">
      <c r="F305" s="3"/>
      <c r="G305" s="3"/>
      <c r="R305" s="3"/>
    </row>
    <row r="306" spans="6:18" ht="13" x14ac:dyDescent="0.15">
      <c r="F306" s="3"/>
      <c r="G306" s="3"/>
      <c r="R306" s="3"/>
    </row>
    <row r="307" spans="6:18" ht="13" x14ac:dyDescent="0.15">
      <c r="F307" s="3"/>
      <c r="G307" s="3"/>
      <c r="R307" s="3"/>
    </row>
    <row r="308" spans="6:18" ht="13" x14ac:dyDescent="0.15">
      <c r="F308" s="3"/>
      <c r="G308" s="3"/>
      <c r="R308" s="3"/>
    </row>
    <row r="309" spans="6:18" ht="13" x14ac:dyDescent="0.15">
      <c r="F309" s="3"/>
      <c r="G309" s="3"/>
      <c r="R309" s="3"/>
    </row>
    <row r="310" spans="6:18" ht="13" x14ac:dyDescent="0.15">
      <c r="F310" s="3"/>
      <c r="G310" s="3"/>
      <c r="R310" s="3"/>
    </row>
    <row r="311" spans="6:18" ht="13" x14ac:dyDescent="0.15">
      <c r="F311" s="3"/>
      <c r="G311" s="3"/>
      <c r="R311" s="3"/>
    </row>
    <row r="312" spans="6:18" ht="13" x14ac:dyDescent="0.15">
      <c r="F312" s="3"/>
      <c r="G312" s="3"/>
      <c r="R312" s="3"/>
    </row>
    <row r="313" spans="6:18" ht="13" x14ac:dyDescent="0.15">
      <c r="F313" s="3"/>
      <c r="G313" s="3"/>
      <c r="R313" s="3"/>
    </row>
    <row r="314" spans="6:18" ht="13" x14ac:dyDescent="0.15">
      <c r="F314" s="3"/>
      <c r="G314" s="3"/>
      <c r="R314" s="3"/>
    </row>
    <row r="315" spans="6:18" ht="13" x14ac:dyDescent="0.15">
      <c r="F315" s="3"/>
      <c r="G315" s="3"/>
      <c r="R315" s="3"/>
    </row>
    <row r="316" spans="6:18" ht="13" x14ac:dyDescent="0.15">
      <c r="F316" s="3"/>
      <c r="G316" s="3"/>
      <c r="R316" s="3"/>
    </row>
    <row r="317" spans="6:18" ht="13" x14ac:dyDescent="0.15">
      <c r="F317" s="3"/>
      <c r="G317" s="3"/>
      <c r="R317" s="3"/>
    </row>
    <row r="318" spans="6:18" ht="13" x14ac:dyDescent="0.15">
      <c r="F318" s="3"/>
      <c r="G318" s="3"/>
      <c r="R318" s="3"/>
    </row>
    <row r="319" spans="6:18" ht="13" x14ac:dyDescent="0.15">
      <c r="F319" s="3"/>
      <c r="G319" s="3"/>
      <c r="R319" s="3"/>
    </row>
    <row r="320" spans="6:18" ht="13" x14ac:dyDescent="0.15">
      <c r="F320" s="3"/>
      <c r="G320" s="3"/>
      <c r="R320" s="3"/>
    </row>
    <row r="321" spans="6:18" ht="13" x14ac:dyDescent="0.15">
      <c r="F321" s="3"/>
      <c r="G321" s="3"/>
      <c r="R321" s="3"/>
    </row>
    <row r="322" spans="6:18" ht="13" x14ac:dyDescent="0.15">
      <c r="F322" s="3"/>
      <c r="G322" s="3"/>
      <c r="R322" s="3"/>
    </row>
    <row r="323" spans="6:18" ht="13" x14ac:dyDescent="0.15">
      <c r="F323" s="3"/>
      <c r="G323" s="3"/>
      <c r="R323" s="3"/>
    </row>
    <row r="324" spans="6:18" ht="13" x14ac:dyDescent="0.15">
      <c r="F324" s="3"/>
      <c r="G324" s="3"/>
      <c r="R324" s="3"/>
    </row>
    <row r="325" spans="6:18" ht="13" x14ac:dyDescent="0.15">
      <c r="F325" s="3"/>
      <c r="G325" s="3"/>
      <c r="R325" s="3"/>
    </row>
    <row r="326" spans="6:18" ht="13" x14ac:dyDescent="0.15">
      <c r="F326" s="3"/>
      <c r="G326" s="3"/>
      <c r="R326" s="3"/>
    </row>
    <row r="327" spans="6:18" ht="13" x14ac:dyDescent="0.15">
      <c r="F327" s="3"/>
      <c r="G327" s="3"/>
      <c r="R327" s="3"/>
    </row>
    <row r="328" spans="6:18" ht="13" x14ac:dyDescent="0.15">
      <c r="F328" s="3"/>
      <c r="G328" s="3"/>
      <c r="R328" s="3"/>
    </row>
    <row r="329" spans="6:18" ht="13" x14ac:dyDescent="0.15">
      <c r="F329" s="3"/>
      <c r="G329" s="3"/>
      <c r="R329" s="3"/>
    </row>
    <row r="330" spans="6:18" ht="13" x14ac:dyDescent="0.15">
      <c r="F330" s="3"/>
      <c r="G330" s="3"/>
      <c r="R330" s="3"/>
    </row>
    <row r="331" spans="6:18" ht="13" x14ac:dyDescent="0.15">
      <c r="F331" s="3"/>
      <c r="G331" s="3"/>
      <c r="R331" s="3"/>
    </row>
    <row r="332" spans="6:18" ht="13" x14ac:dyDescent="0.15">
      <c r="F332" s="3"/>
      <c r="G332" s="3"/>
      <c r="R332" s="3"/>
    </row>
    <row r="333" spans="6:18" ht="13" x14ac:dyDescent="0.15">
      <c r="F333" s="3"/>
      <c r="G333" s="3"/>
      <c r="R333" s="3"/>
    </row>
    <row r="334" spans="6:18" ht="13" x14ac:dyDescent="0.15">
      <c r="F334" s="3"/>
      <c r="G334" s="3"/>
      <c r="R334" s="3"/>
    </row>
    <row r="335" spans="6:18" ht="13" x14ac:dyDescent="0.15">
      <c r="F335" s="3"/>
      <c r="G335" s="3"/>
      <c r="R335" s="3"/>
    </row>
    <row r="336" spans="6:18" ht="13" x14ac:dyDescent="0.15">
      <c r="F336" s="3"/>
      <c r="G336" s="3"/>
      <c r="R336" s="3"/>
    </row>
    <row r="337" spans="6:18" ht="13" x14ac:dyDescent="0.15">
      <c r="F337" s="3"/>
      <c r="G337" s="3"/>
      <c r="R337" s="3"/>
    </row>
    <row r="338" spans="6:18" ht="13" x14ac:dyDescent="0.15">
      <c r="F338" s="3"/>
      <c r="G338" s="3"/>
      <c r="R338" s="3"/>
    </row>
    <row r="339" spans="6:18" ht="13" x14ac:dyDescent="0.15">
      <c r="F339" s="3"/>
      <c r="G339" s="3"/>
      <c r="R339" s="3"/>
    </row>
    <row r="340" spans="6:18" ht="13" x14ac:dyDescent="0.15">
      <c r="F340" s="3"/>
      <c r="G340" s="3"/>
      <c r="R340" s="3"/>
    </row>
    <row r="341" spans="6:18" ht="13" x14ac:dyDescent="0.15">
      <c r="F341" s="3"/>
      <c r="G341" s="3"/>
      <c r="R341" s="3"/>
    </row>
    <row r="342" spans="6:18" ht="13" x14ac:dyDescent="0.15">
      <c r="F342" s="3"/>
      <c r="G342" s="3"/>
      <c r="R342" s="3"/>
    </row>
    <row r="343" spans="6:18" ht="13" x14ac:dyDescent="0.15">
      <c r="F343" s="3"/>
      <c r="G343" s="3"/>
      <c r="R343" s="3"/>
    </row>
    <row r="344" spans="6:18" ht="13" x14ac:dyDescent="0.15">
      <c r="F344" s="3"/>
      <c r="G344" s="3"/>
      <c r="R344" s="3"/>
    </row>
    <row r="345" spans="6:18" ht="13" x14ac:dyDescent="0.15">
      <c r="F345" s="3"/>
      <c r="G345" s="3"/>
      <c r="R345" s="3"/>
    </row>
    <row r="346" spans="6:18" ht="13" x14ac:dyDescent="0.15">
      <c r="F346" s="3"/>
      <c r="G346" s="3"/>
      <c r="R346" s="3"/>
    </row>
    <row r="347" spans="6:18" ht="13" x14ac:dyDescent="0.15">
      <c r="F347" s="3"/>
      <c r="G347" s="3"/>
      <c r="R347" s="3"/>
    </row>
    <row r="348" spans="6:18" ht="13" x14ac:dyDescent="0.15">
      <c r="F348" s="3"/>
      <c r="G348" s="3"/>
      <c r="R348" s="3"/>
    </row>
    <row r="349" spans="6:18" ht="13" x14ac:dyDescent="0.15">
      <c r="F349" s="3"/>
      <c r="G349" s="3"/>
      <c r="R349" s="3"/>
    </row>
    <row r="350" spans="6:18" ht="13" x14ac:dyDescent="0.15">
      <c r="F350" s="3"/>
      <c r="G350" s="3"/>
      <c r="R350" s="3"/>
    </row>
    <row r="351" spans="6:18" ht="13" x14ac:dyDescent="0.15">
      <c r="F351" s="3"/>
      <c r="G351" s="3"/>
      <c r="R351" s="3"/>
    </row>
    <row r="352" spans="6:18" ht="13" x14ac:dyDescent="0.15">
      <c r="F352" s="3"/>
      <c r="G352" s="3"/>
      <c r="R352" s="3"/>
    </row>
    <row r="353" spans="6:18" ht="13" x14ac:dyDescent="0.15">
      <c r="F353" s="3"/>
      <c r="G353" s="3"/>
      <c r="R353" s="3"/>
    </row>
    <row r="354" spans="6:18" ht="13" x14ac:dyDescent="0.15">
      <c r="F354" s="3"/>
      <c r="G354" s="3"/>
      <c r="R354" s="3"/>
    </row>
    <row r="355" spans="6:18" ht="13" x14ac:dyDescent="0.15">
      <c r="F355" s="3"/>
      <c r="G355" s="3"/>
      <c r="R355" s="3"/>
    </row>
    <row r="356" spans="6:18" ht="13" x14ac:dyDescent="0.15">
      <c r="F356" s="3"/>
      <c r="G356" s="3"/>
      <c r="R356" s="3"/>
    </row>
    <row r="357" spans="6:18" ht="13" x14ac:dyDescent="0.15">
      <c r="F357" s="3"/>
      <c r="G357" s="3"/>
      <c r="R357" s="3"/>
    </row>
    <row r="358" spans="6:18" ht="13" x14ac:dyDescent="0.15">
      <c r="F358" s="3"/>
      <c r="G358" s="3"/>
      <c r="R358" s="3"/>
    </row>
    <row r="359" spans="6:18" ht="13" x14ac:dyDescent="0.15">
      <c r="F359" s="3"/>
      <c r="G359" s="3"/>
      <c r="R359" s="3"/>
    </row>
    <row r="360" spans="6:18" ht="13" x14ac:dyDescent="0.15">
      <c r="F360" s="3"/>
      <c r="G360" s="3"/>
      <c r="R360" s="3"/>
    </row>
    <row r="361" spans="6:18" ht="13" x14ac:dyDescent="0.15">
      <c r="F361" s="3"/>
      <c r="G361" s="3"/>
      <c r="R361" s="3"/>
    </row>
    <row r="362" spans="6:18" ht="13" x14ac:dyDescent="0.15">
      <c r="F362" s="3"/>
      <c r="G362" s="3"/>
      <c r="R362" s="3"/>
    </row>
    <row r="363" spans="6:18" ht="13" x14ac:dyDescent="0.15">
      <c r="F363" s="3"/>
      <c r="G363" s="3"/>
      <c r="R363" s="3"/>
    </row>
    <row r="364" spans="6:18" ht="13" x14ac:dyDescent="0.15">
      <c r="F364" s="3"/>
      <c r="G364" s="3"/>
      <c r="R364" s="3"/>
    </row>
    <row r="365" spans="6:18" ht="13" x14ac:dyDescent="0.15">
      <c r="F365" s="3"/>
      <c r="G365" s="3"/>
      <c r="R365" s="3"/>
    </row>
    <row r="366" spans="6:18" ht="13" x14ac:dyDescent="0.15">
      <c r="F366" s="3"/>
      <c r="G366" s="3"/>
      <c r="R366" s="3"/>
    </row>
    <row r="367" spans="6:18" ht="13" x14ac:dyDescent="0.15">
      <c r="F367" s="3"/>
      <c r="G367" s="3"/>
      <c r="R367" s="3"/>
    </row>
    <row r="368" spans="6:18" ht="13" x14ac:dyDescent="0.15">
      <c r="F368" s="3"/>
      <c r="G368" s="3"/>
      <c r="R368" s="3"/>
    </row>
    <row r="369" spans="6:18" ht="13" x14ac:dyDescent="0.15">
      <c r="F369" s="3"/>
      <c r="G369" s="3"/>
      <c r="R369" s="3"/>
    </row>
    <row r="370" spans="6:18" ht="13" x14ac:dyDescent="0.15">
      <c r="F370" s="3"/>
      <c r="G370" s="3"/>
      <c r="R370" s="3"/>
    </row>
    <row r="371" spans="6:18" ht="13" x14ac:dyDescent="0.15">
      <c r="F371" s="3"/>
      <c r="G371" s="3"/>
      <c r="R371" s="3"/>
    </row>
    <row r="372" spans="6:18" ht="13" x14ac:dyDescent="0.15">
      <c r="F372" s="3"/>
      <c r="G372" s="3"/>
      <c r="R372" s="3"/>
    </row>
    <row r="373" spans="6:18" ht="13" x14ac:dyDescent="0.15">
      <c r="F373" s="3"/>
      <c r="G373" s="3"/>
      <c r="R373" s="3"/>
    </row>
    <row r="374" spans="6:18" ht="13" x14ac:dyDescent="0.15">
      <c r="F374" s="3"/>
      <c r="G374" s="3"/>
      <c r="R374" s="3"/>
    </row>
    <row r="375" spans="6:18" ht="13" x14ac:dyDescent="0.15">
      <c r="F375" s="3"/>
      <c r="G375" s="3"/>
      <c r="R375" s="3"/>
    </row>
    <row r="376" spans="6:18" ht="13" x14ac:dyDescent="0.15">
      <c r="F376" s="3"/>
      <c r="G376" s="3"/>
      <c r="R376" s="3"/>
    </row>
    <row r="377" spans="6:18" ht="13" x14ac:dyDescent="0.15">
      <c r="F377" s="3"/>
      <c r="G377" s="3"/>
      <c r="R377" s="3"/>
    </row>
    <row r="378" spans="6:18" ht="13" x14ac:dyDescent="0.15">
      <c r="F378" s="3"/>
      <c r="G378" s="3"/>
      <c r="R378" s="3"/>
    </row>
    <row r="379" spans="6:18" ht="13" x14ac:dyDescent="0.15">
      <c r="F379" s="3"/>
      <c r="G379" s="3"/>
      <c r="R379" s="3"/>
    </row>
    <row r="380" spans="6:18" ht="13" x14ac:dyDescent="0.15">
      <c r="F380" s="3"/>
      <c r="G380" s="3"/>
      <c r="R380" s="3"/>
    </row>
    <row r="381" spans="6:18" ht="13" x14ac:dyDescent="0.15">
      <c r="F381" s="3"/>
      <c r="G381" s="3"/>
      <c r="R381" s="3"/>
    </row>
    <row r="382" spans="6:18" ht="13" x14ac:dyDescent="0.15">
      <c r="F382" s="3"/>
      <c r="G382" s="3"/>
      <c r="R382" s="3"/>
    </row>
    <row r="383" spans="6:18" ht="13" x14ac:dyDescent="0.15">
      <c r="F383" s="3"/>
      <c r="G383" s="3"/>
      <c r="R383" s="3"/>
    </row>
    <row r="384" spans="6:18" ht="13" x14ac:dyDescent="0.15">
      <c r="F384" s="3"/>
      <c r="G384" s="3"/>
      <c r="R384" s="3"/>
    </row>
    <row r="385" spans="6:18" ht="13" x14ac:dyDescent="0.15">
      <c r="F385" s="3"/>
      <c r="G385" s="3"/>
      <c r="R385" s="3"/>
    </row>
    <row r="386" spans="6:18" ht="13" x14ac:dyDescent="0.15">
      <c r="F386" s="3"/>
      <c r="G386" s="3"/>
      <c r="R386" s="3"/>
    </row>
    <row r="387" spans="6:18" ht="13" x14ac:dyDescent="0.15">
      <c r="F387" s="3"/>
      <c r="G387" s="3"/>
      <c r="R387" s="3"/>
    </row>
    <row r="388" spans="6:18" ht="13" x14ac:dyDescent="0.15">
      <c r="F388" s="3"/>
      <c r="G388" s="3"/>
      <c r="R388" s="3"/>
    </row>
    <row r="389" spans="6:18" ht="13" x14ac:dyDescent="0.15">
      <c r="F389" s="3"/>
      <c r="G389" s="3"/>
      <c r="R389" s="3"/>
    </row>
    <row r="390" spans="6:18" ht="13" x14ac:dyDescent="0.15">
      <c r="F390" s="3"/>
      <c r="G390" s="3"/>
      <c r="R390" s="3"/>
    </row>
    <row r="391" spans="6:18" ht="13" x14ac:dyDescent="0.15">
      <c r="F391" s="3"/>
      <c r="G391" s="3"/>
      <c r="R391" s="3"/>
    </row>
    <row r="392" spans="6:18" ht="13" x14ac:dyDescent="0.15">
      <c r="F392" s="3"/>
      <c r="G392" s="3"/>
      <c r="R392" s="3"/>
    </row>
    <row r="393" spans="6:18" ht="13" x14ac:dyDescent="0.15">
      <c r="F393" s="3"/>
      <c r="G393" s="3"/>
      <c r="R393" s="3"/>
    </row>
    <row r="394" spans="6:18" ht="13" x14ac:dyDescent="0.15">
      <c r="F394" s="3"/>
      <c r="G394" s="3"/>
      <c r="R394" s="3"/>
    </row>
    <row r="395" spans="6:18" ht="13" x14ac:dyDescent="0.15">
      <c r="F395" s="3"/>
      <c r="G395" s="3"/>
      <c r="R395" s="3"/>
    </row>
    <row r="396" spans="6:18" ht="13" x14ac:dyDescent="0.15">
      <c r="F396" s="3"/>
      <c r="G396" s="3"/>
      <c r="R396" s="3"/>
    </row>
    <row r="397" spans="6:18" ht="13" x14ac:dyDescent="0.15">
      <c r="F397" s="3"/>
      <c r="G397" s="3"/>
      <c r="R397" s="3"/>
    </row>
    <row r="398" spans="6:18" ht="13" x14ac:dyDescent="0.15">
      <c r="F398" s="3"/>
      <c r="G398" s="3"/>
      <c r="R398" s="3"/>
    </row>
    <row r="399" spans="6:18" ht="13" x14ac:dyDescent="0.15">
      <c r="F399" s="3"/>
      <c r="G399" s="3"/>
      <c r="R399" s="3"/>
    </row>
    <row r="400" spans="6:18" ht="13" x14ac:dyDescent="0.15">
      <c r="F400" s="3"/>
      <c r="G400" s="3"/>
      <c r="R400" s="3"/>
    </row>
    <row r="401" spans="6:18" ht="13" x14ac:dyDescent="0.15">
      <c r="F401" s="3"/>
      <c r="G401" s="3"/>
      <c r="R401" s="3"/>
    </row>
    <row r="402" spans="6:18" ht="13" x14ac:dyDescent="0.15">
      <c r="F402" s="3"/>
      <c r="G402" s="3"/>
      <c r="R402" s="3"/>
    </row>
    <row r="403" spans="6:18" ht="13" x14ac:dyDescent="0.15">
      <c r="F403" s="3"/>
      <c r="G403" s="3"/>
      <c r="R403" s="3"/>
    </row>
    <row r="404" spans="6:18" ht="13" x14ac:dyDescent="0.15">
      <c r="F404" s="3"/>
      <c r="G404" s="3"/>
      <c r="R404" s="3"/>
    </row>
    <row r="405" spans="6:18" ht="13" x14ac:dyDescent="0.15">
      <c r="F405" s="3"/>
      <c r="G405" s="3"/>
      <c r="R405" s="3"/>
    </row>
    <row r="406" spans="6:18" ht="13" x14ac:dyDescent="0.15">
      <c r="F406" s="3"/>
      <c r="G406" s="3"/>
      <c r="R406" s="3"/>
    </row>
    <row r="407" spans="6:18" ht="13" x14ac:dyDescent="0.15">
      <c r="F407" s="3"/>
      <c r="G407" s="3"/>
      <c r="R407" s="3"/>
    </row>
    <row r="408" spans="6:18" ht="13" x14ac:dyDescent="0.15">
      <c r="F408" s="3"/>
      <c r="G408" s="3"/>
      <c r="R408" s="3"/>
    </row>
    <row r="409" spans="6:18" ht="13" x14ac:dyDescent="0.15">
      <c r="F409" s="3"/>
      <c r="G409" s="3"/>
      <c r="R409" s="3"/>
    </row>
    <row r="410" spans="6:18" ht="13" x14ac:dyDescent="0.15">
      <c r="F410" s="3"/>
      <c r="G410" s="3"/>
      <c r="R410" s="3"/>
    </row>
    <row r="411" spans="6:18" ht="13" x14ac:dyDescent="0.15">
      <c r="F411" s="3"/>
      <c r="G411" s="3"/>
      <c r="R411" s="3"/>
    </row>
    <row r="412" spans="6:18" ht="13" x14ac:dyDescent="0.15">
      <c r="F412" s="3"/>
      <c r="G412" s="3"/>
      <c r="R412" s="3"/>
    </row>
    <row r="413" spans="6:18" ht="13" x14ac:dyDescent="0.15">
      <c r="F413" s="3"/>
      <c r="G413" s="3"/>
      <c r="R413" s="3"/>
    </row>
    <row r="414" spans="6:18" ht="13" x14ac:dyDescent="0.15">
      <c r="F414" s="3"/>
      <c r="G414" s="3"/>
      <c r="R414" s="3"/>
    </row>
    <row r="415" spans="6:18" ht="13" x14ac:dyDescent="0.15">
      <c r="F415" s="3"/>
      <c r="G415" s="3"/>
      <c r="R415" s="3"/>
    </row>
    <row r="416" spans="6:18" ht="13" x14ac:dyDescent="0.15">
      <c r="F416" s="3"/>
      <c r="G416" s="3"/>
      <c r="R416" s="3"/>
    </row>
    <row r="417" spans="6:18" ht="13" x14ac:dyDescent="0.15">
      <c r="F417" s="3"/>
      <c r="G417" s="3"/>
      <c r="R417" s="3"/>
    </row>
    <row r="418" spans="6:18" ht="13" x14ac:dyDescent="0.15">
      <c r="F418" s="3"/>
      <c r="G418" s="3"/>
      <c r="R418" s="3"/>
    </row>
    <row r="419" spans="6:18" ht="13" x14ac:dyDescent="0.15">
      <c r="F419" s="3"/>
      <c r="G419" s="3"/>
      <c r="R419" s="3"/>
    </row>
    <row r="420" spans="6:18" ht="13" x14ac:dyDescent="0.15">
      <c r="F420" s="3"/>
      <c r="G420" s="3"/>
      <c r="R420" s="3"/>
    </row>
    <row r="421" spans="6:18" ht="13" x14ac:dyDescent="0.15">
      <c r="F421" s="3"/>
      <c r="G421" s="3"/>
      <c r="R421" s="3"/>
    </row>
    <row r="422" spans="6:18" ht="13" x14ac:dyDescent="0.15">
      <c r="F422" s="3"/>
      <c r="G422" s="3"/>
      <c r="R422" s="3"/>
    </row>
    <row r="423" spans="6:18" ht="13" x14ac:dyDescent="0.15">
      <c r="F423" s="3"/>
      <c r="G423" s="3"/>
      <c r="R423" s="3"/>
    </row>
    <row r="424" spans="6:18" ht="13" x14ac:dyDescent="0.15">
      <c r="F424" s="3"/>
      <c r="G424" s="3"/>
      <c r="R424" s="3"/>
    </row>
    <row r="425" spans="6:18" ht="13" x14ac:dyDescent="0.15">
      <c r="F425" s="3"/>
      <c r="G425" s="3"/>
      <c r="R425" s="3"/>
    </row>
    <row r="426" spans="6:18" ht="13" x14ac:dyDescent="0.15">
      <c r="F426" s="3"/>
      <c r="G426" s="3"/>
      <c r="R426" s="3"/>
    </row>
    <row r="427" spans="6:18" ht="13" x14ac:dyDescent="0.15">
      <c r="F427" s="3"/>
      <c r="G427" s="3"/>
      <c r="R427" s="3"/>
    </row>
    <row r="428" spans="6:18" ht="13" x14ac:dyDescent="0.15">
      <c r="F428" s="3"/>
      <c r="G428" s="3"/>
      <c r="R428" s="3"/>
    </row>
    <row r="429" spans="6:18" ht="13" x14ac:dyDescent="0.15">
      <c r="F429" s="3"/>
      <c r="G429" s="3"/>
      <c r="R429" s="3"/>
    </row>
    <row r="430" spans="6:18" ht="13" x14ac:dyDescent="0.15">
      <c r="F430" s="3"/>
      <c r="G430" s="3"/>
      <c r="R430" s="3"/>
    </row>
    <row r="431" spans="6:18" ht="13" x14ac:dyDescent="0.15">
      <c r="F431" s="3"/>
      <c r="G431" s="3"/>
      <c r="R431" s="3"/>
    </row>
    <row r="432" spans="6:18" ht="13" x14ac:dyDescent="0.15">
      <c r="F432" s="3"/>
      <c r="G432" s="3"/>
      <c r="R432" s="3"/>
    </row>
    <row r="433" spans="6:18" ht="13" x14ac:dyDescent="0.15">
      <c r="F433" s="3"/>
      <c r="G433" s="3"/>
      <c r="R433" s="3"/>
    </row>
    <row r="434" spans="6:18" ht="13" x14ac:dyDescent="0.15">
      <c r="F434" s="3"/>
      <c r="G434" s="3"/>
      <c r="R434" s="3"/>
    </row>
    <row r="435" spans="6:18" ht="13" x14ac:dyDescent="0.15">
      <c r="F435" s="3"/>
      <c r="G435" s="3"/>
      <c r="R435" s="3"/>
    </row>
    <row r="436" spans="6:18" ht="13" x14ac:dyDescent="0.15">
      <c r="F436" s="3"/>
      <c r="G436" s="3"/>
      <c r="R436" s="3"/>
    </row>
    <row r="437" spans="6:18" ht="13" x14ac:dyDescent="0.15">
      <c r="F437" s="3"/>
      <c r="G437" s="3"/>
      <c r="R437" s="3"/>
    </row>
    <row r="438" spans="6:18" ht="13" x14ac:dyDescent="0.15">
      <c r="F438" s="3"/>
      <c r="G438" s="3"/>
      <c r="R438" s="3"/>
    </row>
    <row r="439" spans="6:18" ht="13" x14ac:dyDescent="0.15">
      <c r="F439" s="3"/>
      <c r="G439" s="3"/>
      <c r="R439" s="3"/>
    </row>
    <row r="440" spans="6:18" ht="13" x14ac:dyDescent="0.15">
      <c r="F440" s="3"/>
      <c r="G440" s="3"/>
      <c r="R440" s="3"/>
    </row>
    <row r="441" spans="6:18" ht="13" x14ac:dyDescent="0.15">
      <c r="F441" s="3"/>
      <c r="G441" s="3"/>
      <c r="R441" s="3"/>
    </row>
    <row r="442" spans="6:18" ht="13" x14ac:dyDescent="0.15">
      <c r="F442" s="3"/>
      <c r="G442" s="3"/>
      <c r="R442" s="3"/>
    </row>
    <row r="443" spans="6:18" ht="13" x14ac:dyDescent="0.15">
      <c r="F443" s="3"/>
      <c r="G443" s="3"/>
      <c r="R443" s="3"/>
    </row>
    <row r="444" spans="6:18" ht="13" x14ac:dyDescent="0.15">
      <c r="F444" s="3"/>
      <c r="G444" s="3"/>
      <c r="R444" s="3"/>
    </row>
    <row r="445" spans="6:18" ht="13" x14ac:dyDescent="0.15">
      <c r="F445" s="3"/>
      <c r="G445" s="3"/>
      <c r="R445" s="3"/>
    </row>
    <row r="446" spans="6:18" ht="13" x14ac:dyDescent="0.15">
      <c r="F446" s="3"/>
      <c r="G446" s="3"/>
      <c r="R446" s="3"/>
    </row>
    <row r="447" spans="6:18" ht="13" x14ac:dyDescent="0.15">
      <c r="F447" s="3"/>
      <c r="G447" s="3"/>
      <c r="R447" s="3"/>
    </row>
    <row r="448" spans="6:18" ht="13" x14ac:dyDescent="0.15">
      <c r="F448" s="3"/>
      <c r="G448" s="3"/>
      <c r="R448" s="3"/>
    </row>
    <row r="449" spans="6:18" ht="13" x14ac:dyDescent="0.15">
      <c r="F449" s="3"/>
      <c r="G449" s="3"/>
      <c r="R449" s="3"/>
    </row>
    <row r="450" spans="6:18" ht="13" x14ac:dyDescent="0.15">
      <c r="F450" s="3"/>
      <c r="G450" s="3"/>
      <c r="R450" s="3"/>
    </row>
    <row r="451" spans="6:18" ht="13" x14ac:dyDescent="0.15">
      <c r="F451" s="3"/>
      <c r="G451" s="3"/>
      <c r="R451" s="3"/>
    </row>
    <row r="452" spans="6:18" ht="13" x14ac:dyDescent="0.15">
      <c r="F452" s="3"/>
      <c r="G452" s="3"/>
      <c r="R452" s="3"/>
    </row>
    <row r="453" spans="6:18" ht="13" x14ac:dyDescent="0.15">
      <c r="F453" s="3"/>
      <c r="G453" s="3"/>
      <c r="R453" s="3"/>
    </row>
    <row r="454" spans="6:18" ht="13" x14ac:dyDescent="0.15">
      <c r="F454" s="3"/>
      <c r="G454" s="3"/>
      <c r="R454" s="3"/>
    </row>
    <row r="455" spans="6:18" ht="13" x14ac:dyDescent="0.15">
      <c r="F455" s="3"/>
      <c r="G455" s="3"/>
      <c r="R455" s="3"/>
    </row>
    <row r="456" spans="6:18" ht="13" x14ac:dyDescent="0.15">
      <c r="F456" s="3"/>
      <c r="G456" s="3"/>
      <c r="R456" s="3"/>
    </row>
    <row r="457" spans="6:18" ht="13" x14ac:dyDescent="0.15">
      <c r="F457" s="3"/>
      <c r="G457" s="3"/>
      <c r="R457" s="3"/>
    </row>
    <row r="458" spans="6:18" ht="13" x14ac:dyDescent="0.15">
      <c r="F458" s="3"/>
      <c r="G458" s="3"/>
      <c r="R458" s="3"/>
    </row>
    <row r="459" spans="6:18" ht="13" x14ac:dyDescent="0.15">
      <c r="F459" s="3"/>
      <c r="G459" s="3"/>
      <c r="R459" s="3"/>
    </row>
    <row r="460" spans="6:18" ht="13" x14ac:dyDescent="0.15">
      <c r="F460" s="3"/>
      <c r="G460" s="3"/>
      <c r="R460" s="3"/>
    </row>
    <row r="461" spans="6:18" ht="13" x14ac:dyDescent="0.15">
      <c r="F461" s="3"/>
      <c r="G461" s="3"/>
      <c r="R461" s="3"/>
    </row>
    <row r="462" spans="6:18" ht="13" x14ac:dyDescent="0.15">
      <c r="F462" s="3"/>
      <c r="G462" s="3"/>
      <c r="R462" s="3"/>
    </row>
    <row r="463" spans="6:18" ht="13" x14ac:dyDescent="0.15">
      <c r="F463" s="3"/>
      <c r="G463" s="3"/>
      <c r="R463" s="3"/>
    </row>
    <row r="464" spans="6:18" ht="13" x14ac:dyDescent="0.15">
      <c r="F464" s="3"/>
      <c r="G464" s="3"/>
      <c r="R464" s="3"/>
    </row>
    <row r="465" spans="6:18" ht="13" x14ac:dyDescent="0.15">
      <c r="F465" s="3"/>
      <c r="G465" s="3"/>
      <c r="R465" s="3"/>
    </row>
    <row r="466" spans="6:18" ht="13" x14ac:dyDescent="0.15">
      <c r="F466" s="3"/>
      <c r="G466" s="3"/>
      <c r="R466" s="3"/>
    </row>
    <row r="467" spans="6:18" ht="13" x14ac:dyDescent="0.15">
      <c r="F467" s="3"/>
      <c r="G467" s="3"/>
      <c r="R467" s="3"/>
    </row>
    <row r="468" spans="6:18" ht="13" x14ac:dyDescent="0.15">
      <c r="F468" s="3"/>
      <c r="G468" s="3"/>
      <c r="R468" s="3"/>
    </row>
    <row r="469" spans="6:18" ht="13" x14ac:dyDescent="0.15">
      <c r="F469" s="3"/>
      <c r="G469" s="3"/>
      <c r="R469" s="3"/>
    </row>
    <row r="470" spans="6:18" ht="13" x14ac:dyDescent="0.15">
      <c r="F470" s="3"/>
      <c r="G470" s="3"/>
      <c r="R470" s="3"/>
    </row>
    <row r="471" spans="6:18" ht="13" x14ac:dyDescent="0.15">
      <c r="F471" s="3"/>
      <c r="G471" s="3"/>
      <c r="R471" s="3"/>
    </row>
    <row r="472" spans="6:18" ht="13" x14ac:dyDescent="0.15">
      <c r="F472" s="3"/>
      <c r="G472" s="3"/>
      <c r="R472" s="3"/>
    </row>
    <row r="473" spans="6:18" ht="13" x14ac:dyDescent="0.15">
      <c r="F473" s="3"/>
      <c r="G473" s="3"/>
      <c r="R473" s="3"/>
    </row>
    <row r="474" spans="6:18" ht="13" x14ac:dyDescent="0.15">
      <c r="F474" s="3"/>
      <c r="G474" s="3"/>
      <c r="R474" s="3"/>
    </row>
    <row r="475" spans="6:18" ht="13" x14ac:dyDescent="0.15">
      <c r="F475" s="3"/>
      <c r="G475" s="3"/>
      <c r="R475" s="3"/>
    </row>
    <row r="476" spans="6:18" ht="13" x14ac:dyDescent="0.15">
      <c r="F476" s="3"/>
      <c r="G476" s="3"/>
      <c r="R476" s="3"/>
    </row>
    <row r="477" spans="6:18" ht="13" x14ac:dyDescent="0.15">
      <c r="F477" s="3"/>
      <c r="G477" s="3"/>
      <c r="R477" s="3"/>
    </row>
    <row r="478" spans="6:18" ht="13" x14ac:dyDescent="0.15">
      <c r="F478" s="3"/>
      <c r="G478" s="3"/>
      <c r="R478" s="3"/>
    </row>
    <row r="479" spans="6:18" ht="13" x14ac:dyDescent="0.15">
      <c r="F479" s="3"/>
      <c r="G479" s="3"/>
      <c r="R479" s="3"/>
    </row>
    <row r="480" spans="6:18" ht="13" x14ac:dyDescent="0.15">
      <c r="F480" s="3"/>
      <c r="G480" s="3"/>
      <c r="R480" s="3"/>
    </row>
    <row r="481" spans="6:18" ht="13" x14ac:dyDescent="0.15">
      <c r="F481" s="3"/>
      <c r="G481" s="3"/>
      <c r="R481" s="3"/>
    </row>
    <row r="482" spans="6:18" ht="13" x14ac:dyDescent="0.15">
      <c r="F482" s="3"/>
      <c r="G482" s="3"/>
      <c r="R482" s="3"/>
    </row>
    <row r="483" spans="6:18" ht="13" x14ac:dyDescent="0.15">
      <c r="F483" s="3"/>
      <c r="G483" s="3"/>
      <c r="R483" s="3"/>
    </row>
    <row r="484" spans="6:18" ht="13" x14ac:dyDescent="0.15">
      <c r="F484" s="3"/>
      <c r="G484" s="3"/>
      <c r="R484" s="3"/>
    </row>
    <row r="485" spans="6:18" ht="13" x14ac:dyDescent="0.15">
      <c r="F485" s="3"/>
      <c r="G485" s="3"/>
      <c r="R485" s="3"/>
    </row>
    <row r="486" spans="6:18" ht="13" x14ac:dyDescent="0.15">
      <c r="F486" s="3"/>
      <c r="G486" s="3"/>
      <c r="R486" s="3"/>
    </row>
    <row r="487" spans="6:18" ht="13" x14ac:dyDescent="0.15">
      <c r="F487" s="3"/>
      <c r="G487" s="3"/>
      <c r="R487" s="3"/>
    </row>
    <row r="488" spans="6:18" ht="13" x14ac:dyDescent="0.15">
      <c r="F488" s="3"/>
      <c r="G488" s="3"/>
      <c r="R488" s="3"/>
    </row>
    <row r="489" spans="6:18" ht="13" x14ac:dyDescent="0.15">
      <c r="F489" s="3"/>
      <c r="G489" s="3"/>
      <c r="R489" s="3"/>
    </row>
    <row r="490" spans="6:18" ht="13" x14ac:dyDescent="0.15">
      <c r="F490" s="3"/>
      <c r="G490" s="3"/>
      <c r="R490" s="3"/>
    </row>
    <row r="491" spans="6:18" ht="13" x14ac:dyDescent="0.15">
      <c r="F491" s="3"/>
      <c r="G491" s="3"/>
      <c r="R491" s="3"/>
    </row>
    <row r="492" spans="6:18" ht="13" x14ac:dyDescent="0.15">
      <c r="F492" s="3"/>
      <c r="G492" s="3"/>
      <c r="R492" s="3"/>
    </row>
    <row r="493" spans="6:18" ht="13" x14ac:dyDescent="0.15">
      <c r="F493" s="3"/>
      <c r="G493" s="3"/>
      <c r="R493" s="3"/>
    </row>
    <row r="494" spans="6:18" ht="13" x14ac:dyDescent="0.15">
      <c r="F494" s="3"/>
      <c r="G494" s="3"/>
      <c r="R494" s="3"/>
    </row>
    <row r="495" spans="6:18" ht="13" x14ac:dyDescent="0.15">
      <c r="F495" s="3"/>
      <c r="G495" s="3"/>
      <c r="R495" s="3"/>
    </row>
    <row r="496" spans="6:18" ht="13" x14ac:dyDescent="0.15">
      <c r="F496" s="3"/>
      <c r="G496" s="3"/>
      <c r="R496" s="3"/>
    </row>
    <row r="497" spans="6:18" ht="13" x14ac:dyDescent="0.15">
      <c r="F497" s="3"/>
      <c r="G497" s="3"/>
      <c r="R497" s="3"/>
    </row>
    <row r="498" spans="6:18" ht="13" x14ac:dyDescent="0.15">
      <c r="F498" s="3"/>
      <c r="G498" s="3"/>
      <c r="R498" s="3"/>
    </row>
    <row r="499" spans="6:18" ht="13" x14ac:dyDescent="0.15">
      <c r="F499" s="3"/>
      <c r="G499" s="3"/>
      <c r="R499" s="3"/>
    </row>
    <row r="500" spans="6:18" ht="13" x14ac:dyDescent="0.15">
      <c r="F500" s="3"/>
      <c r="G500" s="3"/>
      <c r="R500" s="3"/>
    </row>
    <row r="501" spans="6:18" ht="13" x14ac:dyDescent="0.15">
      <c r="F501" s="3"/>
      <c r="G501" s="3"/>
      <c r="R501" s="3"/>
    </row>
    <row r="502" spans="6:18" ht="13" x14ac:dyDescent="0.15">
      <c r="F502" s="3"/>
      <c r="G502" s="3"/>
      <c r="R502" s="3"/>
    </row>
    <row r="503" spans="6:18" ht="13" x14ac:dyDescent="0.15">
      <c r="F503" s="3"/>
      <c r="G503" s="3"/>
      <c r="R503" s="3"/>
    </row>
    <row r="504" spans="6:18" ht="13" x14ac:dyDescent="0.15">
      <c r="F504" s="3"/>
      <c r="G504" s="3"/>
      <c r="R504" s="3"/>
    </row>
    <row r="505" spans="6:18" ht="13" x14ac:dyDescent="0.15">
      <c r="F505" s="3"/>
      <c r="G505" s="3"/>
      <c r="R505" s="3"/>
    </row>
    <row r="506" spans="6:18" ht="13" x14ac:dyDescent="0.15">
      <c r="F506" s="3"/>
      <c r="G506" s="3"/>
      <c r="R506" s="3"/>
    </row>
    <row r="507" spans="6:18" ht="13" x14ac:dyDescent="0.15">
      <c r="F507" s="3"/>
      <c r="G507" s="3"/>
      <c r="R507" s="3"/>
    </row>
    <row r="508" spans="6:18" ht="13" x14ac:dyDescent="0.15">
      <c r="F508" s="3"/>
      <c r="G508" s="3"/>
      <c r="R508" s="3"/>
    </row>
    <row r="509" spans="6:18" ht="13" x14ac:dyDescent="0.15">
      <c r="F509" s="3"/>
      <c r="G509" s="3"/>
      <c r="R509" s="3"/>
    </row>
    <row r="510" spans="6:18" ht="13" x14ac:dyDescent="0.15">
      <c r="F510" s="3"/>
      <c r="G510" s="3"/>
      <c r="R510" s="3"/>
    </row>
    <row r="511" spans="6:18" ht="13" x14ac:dyDescent="0.15">
      <c r="F511" s="3"/>
      <c r="G511" s="3"/>
      <c r="R511" s="3"/>
    </row>
    <row r="512" spans="6:18" ht="13" x14ac:dyDescent="0.15">
      <c r="F512" s="3"/>
      <c r="G512" s="3"/>
      <c r="R512" s="3"/>
    </row>
    <row r="513" spans="6:18" ht="13" x14ac:dyDescent="0.15">
      <c r="F513" s="3"/>
      <c r="G513" s="3"/>
      <c r="R513" s="3"/>
    </row>
    <row r="514" spans="6:18" ht="13" x14ac:dyDescent="0.15">
      <c r="F514" s="3"/>
      <c r="G514" s="3"/>
      <c r="R514" s="3"/>
    </row>
    <row r="515" spans="6:18" ht="13" x14ac:dyDescent="0.15">
      <c r="F515" s="3"/>
      <c r="G515" s="3"/>
      <c r="R515" s="3"/>
    </row>
    <row r="516" spans="6:18" ht="13" x14ac:dyDescent="0.15">
      <c r="F516" s="3"/>
      <c r="G516" s="3"/>
      <c r="R516" s="3"/>
    </row>
    <row r="517" spans="6:18" ht="13" x14ac:dyDescent="0.15">
      <c r="F517" s="3"/>
      <c r="G517" s="3"/>
      <c r="R517" s="3"/>
    </row>
    <row r="518" spans="6:18" ht="13" x14ac:dyDescent="0.15">
      <c r="F518" s="3"/>
      <c r="G518" s="3"/>
      <c r="R518" s="3"/>
    </row>
    <row r="519" spans="6:18" ht="13" x14ac:dyDescent="0.15">
      <c r="F519" s="3"/>
      <c r="G519" s="3"/>
      <c r="R519" s="3"/>
    </row>
    <row r="520" spans="6:18" ht="13" x14ac:dyDescent="0.15">
      <c r="F520" s="3"/>
      <c r="G520" s="3"/>
      <c r="R520" s="3"/>
    </row>
    <row r="521" spans="6:18" ht="13" x14ac:dyDescent="0.15">
      <c r="F521" s="3"/>
      <c r="G521" s="3"/>
      <c r="R521" s="3"/>
    </row>
    <row r="522" spans="6:18" ht="13" x14ac:dyDescent="0.15">
      <c r="F522" s="3"/>
      <c r="G522" s="3"/>
      <c r="R522" s="3"/>
    </row>
    <row r="523" spans="6:18" ht="13" x14ac:dyDescent="0.15">
      <c r="F523" s="3"/>
      <c r="G523" s="3"/>
      <c r="R523" s="3"/>
    </row>
    <row r="524" spans="6:18" ht="13" x14ac:dyDescent="0.15">
      <c r="F524" s="3"/>
      <c r="G524" s="3"/>
      <c r="R524" s="3"/>
    </row>
    <row r="525" spans="6:18" ht="13" x14ac:dyDescent="0.15">
      <c r="F525" s="3"/>
      <c r="G525" s="3"/>
      <c r="R525" s="3"/>
    </row>
    <row r="526" spans="6:18" ht="13" x14ac:dyDescent="0.15">
      <c r="F526" s="3"/>
      <c r="G526" s="3"/>
      <c r="R526" s="3"/>
    </row>
    <row r="527" spans="6:18" ht="13" x14ac:dyDescent="0.15">
      <c r="F527" s="3"/>
      <c r="G527" s="3"/>
      <c r="R527" s="3"/>
    </row>
    <row r="528" spans="6:18" ht="13" x14ac:dyDescent="0.15">
      <c r="F528" s="3"/>
      <c r="G528" s="3"/>
      <c r="R528" s="3"/>
    </row>
    <row r="529" spans="6:18" ht="13" x14ac:dyDescent="0.15">
      <c r="F529" s="3"/>
      <c r="G529" s="3"/>
      <c r="R529" s="3"/>
    </row>
    <row r="530" spans="6:18" ht="13" x14ac:dyDescent="0.15">
      <c r="F530" s="3"/>
      <c r="G530" s="3"/>
      <c r="R530" s="3"/>
    </row>
    <row r="531" spans="6:18" ht="13" x14ac:dyDescent="0.15">
      <c r="F531" s="3"/>
      <c r="G531" s="3"/>
      <c r="R531" s="3"/>
    </row>
    <row r="532" spans="6:18" ht="13" x14ac:dyDescent="0.15">
      <c r="F532" s="3"/>
      <c r="G532" s="3"/>
      <c r="R532" s="3"/>
    </row>
    <row r="533" spans="6:18" ht="13" x14ac:dyDescent="0.15">
      <c r="F533" s="3"/>
      <c r="G533" s="3"/>
      <c r="R533" s="3"/>
    </row>
    <row r="534" spans="6:18" ht="13" x14ac:dyDescent="0.15">
      <c r="F534" s="3"/>
      <c r="G534" s="3"/>
      <c r="R534" s="3"/>
    </row>
    <row r="535" spans="6:18" ht="13" x14ac:dyDescent="0.15">
      <c r="F535" s="3"/>
      <c r="G535" s="3"/>
      <c r="R535" s="3"/>
    </row>
    <row r="536" spans="6:18" ht="13" x14ac:dyDescent="0.15">
      <c r="F536" s="3"/>
      <c r="G536" s="3"/>
      <c r="R536" s="3"/>
    </row>
    <row r="537" spans="6:18" ht="13" x14ac:dyDescent="0.15">
      <c r="F537" s="3"/>
      <c r="G537" s="3"/>
      <c r="R537" s="3"/>
    </row>
    <row r="538" spans="6:18" ht="13" x14ac:dyDescent="0.15">
      <c r="F538" s="3"/>
      <c r="G538" s="3"/>
      <c r="R538" s="3"/>
    </row>
    <row r="539" spans="6:18" ht="13" x14ac:dyDescent="0.15">
      <c r="F539" s="3"/>
      <c r="G539" s="3"/>
      <c r="R539" s="3"/>
    </row>
    <row r="540" spans="6:18" ht="13" x14ac:dyDescent="0.15">
      <c r="F540" s="3"/>
      <c r="G540" s="3"/>
      <c r="R540" s="3"/>
    </row>
    <row r="541" spans="6:18" ht="13" x14ac:dyDescent="0.15">
      <c r="F541" s="3"/>
      <c r="G541" s="3"/>
      <c r="R541" s="3"/>
    </row>
    <row r="542" spans="6:18" ht="13" x14ac:dyDescent="0.15">
      <c r="F542" s="3"/>
      <c r="G542" s="3"/>
      <c r="R542" s="3"/>
    </row>
    <row r="543" spans="6:18" ht="13" x14ac:dyDescent="0.15">
      <c r="F543" s="3"/>
      <c r="G543" s="3"/>
      <c r="R543" s="3"/>
    </row>
    <row r="544" spans="6:18" ht="13" x14ac:dyDescent="0.15">
      <c r="F544" s="3"/>
      <c r="G544" s="3"/>
      <c r="R544" s="3"/>
    </row>
    <row r="545" spans="6:18" ht="13" x14ac:dyDescent="0.15">
      <c r="F545" s="3"/>
      <c r="G545" s="3"/>
      <c r="R545" s="3"/>
    </row>
    <row r="546" spans="6:18" ht="13" x14ac:dyDescent="0.15">
      <c r="F546" s="3"/>
      <c r="G546" s="3"/>
      <c r="R546" s="3"/>
    </row>
    <row r="547" spans="6:18" ht="13" x14ac:dyDescent="0.15">
      <c r="F547" s="3"/>
      <c r="G547" s="3"/>
      <c r="R547" s="3"/>
    </row>
    <row r="548" spans="6:18" ht="13" x14ac:dyDescent="0.15">
      <c r="F548" s="3"/>
      <c r="G548" s="3"/>
      <c r="R548" s="3"/>
    </row>
    <row r="549" spans="6:18" ht="13" x14ac:dyDescent="0.15">
      <c r="F549" s="3"/>
      <c r="G549" s="3"/>
      <c r="R549" s="3"/>
    </row>
    <row r="550" spans="6:18" ht="13" x14ac:dyDescent="0.15">
      <c r="F550" s="3"/>
      <c r="G550" s="3"/>
      <c r="R550" s="3"/>
    </row>
    <row r="551" spans="6:18" ht="13" x14ac:dyDescent="0.15">
      <c r="F551" s="3"/>
      <c r="G551" s="3"/>
      <c r="R551" s="3"/>
    </row>
    <row r="552" spans="6:18" ht="13" x14ac:dyDescent="0.15">
      <c r="F552" s="3"/>
      <c r="G552" s="3"/>
      <c r="R552" s="3"/>
    </row>
    <row r="553" spans="6:18" ht="13" x14ac:dyDescent="0.15">
      <c r="F553" s="3"/>
      <c r="G553" s="3"/>
      <c r="R553" s="3"/>
    </row>
    <row r="554" spans="6:18" ht="13" x14ac:dyDescent="0.15">
      <c r="F554" s="3"/>
      <c r="G554" s="3"/>
      <c r="R554" s="3"/>
    </row>
    <row r="555" spans="6:18" ht="13" x14ac:dyDescent="0.15">
      <c r="F555" s="3"/>
      <c r="G555" s="3"/>
      <c r="R555" s="3"/>
    </row>
    <row r="556" spans="6:18" ht="13" x14ac:dyDescent="0.15">
      <c r="F556" s="3"/>
      <c r="G556" s="3"/>
      <c r="R556" s="3"/>
    </row>
    <row r="557" spans="6:18" ht="13" x14ac:dyDescent="0.15">
      <c r="F557" s="3"/>
      <c r="G557" s="3"/>
      <c r="R557" s="3"/>
    </row>
    <row r="558" spans="6:18" ht="13" x14ac:dyDescent="0.15">
      <c r="F558" s="3"/>
      <c r="G558" s="3"/>
      <c r="R558" s="3"/>
    </row>
    <row r="559" spans="6:18" ht="13" x14ac:dyDescent="0.15">
      <c r="F559" s="3"/>
      <c r="G559" s="3"/>
      <c r="R559" s="3"/>
    </row>
    <row r="560" spans="6:18" ht="13" x14ac:dyDescent="0.15">
      <c r="F560" s="3"/>
      <c r="G560" s="3"/>
      <c r="R560" s="3"/>
    </row>
    <row r="561" spans="6:18" ht="13" x14ac:dyDescent="0.15">
      <c r="F561" s="3"/>
      <c r="G561" s="3"/>
      <c r="R561" s="3"/>
    </row>
    <row r="562" spans="6:18" ht="13" x14ac:dyDescent="0.15">
      <c r="F562" s="3"/>
      <c r="G562" s="3"/>
      <c r="R562" s="3"/>
    </row>
    <row r="563" spans="6:18" ht="13" x14ac:dyDescent="0.15">
      <c r="F563" s="3"/>
      <c r="G563" s="3"/>
      <c r="R563" s="3"/>
    </row>
    <row r="564" spans="6:18" ht="13" x14ac:dyDescent="0.15">
      <c r="F564" s="3"/>
      <c r="G564" s="3"/>
      <c r="R564" s="3"/>
    </row>
    <row r="565" spans="6:18" ht="13" x14ac:dyDescent="0.15">
      <c r="F565" s="3"/>
      <c r="G565" s="3"/>
      <c r="R565" s="3"/>
    </row>
    <row r="566" spans="6:18" ht="13" x14ac:dyDescent="0.15">
      <c r="F566" s="3"/>
      <c r="G566" s="3"/>
      <c r="R566" s="3"/>
    </row>
    <row r="567" spans="6:18" ht="13" x14ac:dyDescent="0.15">
      <c r="F567" s="3"/>
      <c r="G567" s="3"/>
      <c r="R567" s="3"/>
    </row>
    <row r="568" spans="6:18" ht="13" x14ac:dyDescent="0.15">
      <c r="F568" s="3"/>
      <c r="G568" s="3"/>
      <c r="R568" s="3"/>
    </row>
    <row r="569" spans="6:18" ht="13" x14ac:dyDescent="0.15">
      <c r="F569" s="3"/>
      <c r="G569" s="3"/>
      <c r="R569" s="3"/>
    </row>
    <row r="570" spans="6:18" ht="13" x14ac:dyDescent="0.15">
      <c r="F570" s="3"/>
      <c r="G570" s="3"/>
      <c r="R570" s="3"/>
    </row>
    <row r="571" spans="6:18" ht="13" x14ac:dyDescent="0.15">
      <c r="F571" s="3"/>
      <c r="G571" s="3"/>
      <c r="R571" s="3"/>
    </row>
    <row r="572" spans="6:18" ht="13" x14ac:dyDescent="0.15">
      <c r="F572" s="3"/>
      <c r="G572" s="3"/>
      <c r="R572" s="3"/>
    </row>
    <row r="573" spans="6:18" ht="13" x14ac:dyDescent="0.15">
      <c r="F573" s="3"/>
      <c r="G573" s="3"/>
      <c r="R573" s="3"/>
    </row>
    <row r="574" spans="6:18" ht="13" x14ac:dyDescent="0.15">
      <c r="F574" s="3"/>
      <c r="G574" s="3"/>
      <c r="R574" s="3"/>
    </row>
    <row r="575" spans="6:18" ht="13" x14ac:dyDescent="0.15">
      <c r="F575" s="3"/>
      <c r="G575" s="3"/>
      <c r="R575" s="3"/>
    </row>
    <row r="576" spans="6:18" ht="13" x14ac:dyDescent="0.15">
      <c r="F576" s="3"/>
      <c r="G576" s="3"/>
      <c r="R576" s="3"/>
    </row>
    <row r="577" spans="6:18" ht="13" x14ac:dyDescent="0.15">
      <c r="F577" s="3"/>
      <c r="G577" s="3"/>
      <c r="R577" s="3"/>
    </row>
    <row r="578" spans="6:18" ht="13" x14ac:dyDescent="0.15">
      <c r="F578" s="3"/>
      <c r="G578" s="3"/>
      <c r="R578" s="3"/>
    </row>
    <row r="579" spans="6:18" ht="13" x14ac:dyDescent="0.15">
      <c r="F579" s="3"/>
      <c r="G579" s="3"/>
      <c r="R579" s="3"/>
    </row>
    <row r="580" spans="6:18" ht="13" x14ac:dyDescent="0.15">
      <c r="F580" s="3"/>
      <c r="G580" s="3"/>
      <c r="R580" s="3"/>
    </row>
    <row r="581" spans="6:18" ht="13" x14ac:dyDescent="0.15">
      <c r="F581" s="3"/>
      <c r="G581" s="3"/>
      <c r="R581" s="3"/>
    </row>
    <row r="582" spans="6:18" ht="13" x14ac:dyDescent="0.15">
      <c r="F582" s="3"/>
      <c r="G582" s="3"/>
      <c r="R582" s="3"/>
    </row>
    <row r="583" spans="6:18" ht="13" x14ac:dyDescent="0.15">
      <c r="F583" s="3"/>
      <c r="G583" s="3"/>
      <c r="R583" s="3"/>
    </row>
    <row r="584" spans="6:18" ht="13" x14ac:dyDescent="0.15">
      <c r="F584" s="3"/>
      <c r="G584" s="3"/>
      <c r="R584" s="3"/>
    </row>
    <row r="585" spans="6:18" ht="13" x14ac:dyDescent="0.15">
      <c r="F585" s="3"/>
      <c r="G585" s="3"/>
      <c r="R585" s="3"/>
    </row>
    <row r="586" spans="6:18" ht="13" x14ac:dyDescent="0.15">
      <c r="F586" s="3"/>
      <c r="G586" s="3"/>
      <c r="R586" s="3"/>
    </row>
    <row r="587" spans="6:18" ht="13" x14ac:dyDescent="0.15">
      <c r="F587" s="3"/>
      <c r="G587" s="3"/>
      <c r="R587" s="3"/>
    </row>
    <row r="588" spans="6:18" ht="13" x14ac:dyDescent="0.15">
      <c r="F588" s="3"/>
      <c r="G588" s="3"/>
      <c r="R588" s="3"/>
    </row>
    <row r="589" spans="6:18" ht="13" x14ac:dyDescent="0.15">
      <c r="F589" s="3"/>
      <c r="G589" s="3"/>
      <c r="R589" s="3"/>
    </row>
    <row r="590" spans="6:18" ht="13" x14ac:dyDescent="0.15">
      <c r="F590" s="3"/>
      <c r="G590" s="3"/>
      <c r="R590" s="3"/>
    </row>
    <row r="591" spans="6:18" ht="13" x14ac:dyDescent="0.15">
      <c r="F591" s="3"/>
      <c r="G591" s="3"/>
      <c r="R591" s="3"/>
    </row>
    <row r="592" spans="6:18" ht="13" x14ac:dyDescent="0.15">
      <c r="F592" s="3"/>
      <c r="G592" s="3"/>
      <c r="R592" s="3"/>
    </row>
    <row r="593" spans="6:18" ht="13" x14ac:dyDescent="0.15">
      <c r="F593" s="3"/>
      <c r="G593" s="3"/>
      <c r="R593" s="3"/>
    </row>
    <row r="594" spans="6:18" ht="13" x14ac:dyDescent="0.15">
      <c r="F594" s="3"/>
      <c r="G594" s="3"/>
      <c r="R594" s="3"/>
    </row>
    <row r="595" spans="6:18" ht="13" x14ac:dyDescent="0.15">
      <c r="F595" s="3"/>
      <c r="G595" s="3"/>
      <c r="R595" s="3"/>
    </row>
    <row r="596" spans="6:18" ht="13" x14ac:dyDescent="0.15">
      <c r="F596" s="3"/>
      <c r="G596" s="3"/>
      <c r="R596" s="3"/>
    </row>
    <row r="597" spans="6:18" ht="13" x14ac:dyDescent="0.15">
      <c r="F597" s="3"/>
      <c r="G597" s="3"/>
      <c r="R597" s="3"/>
    </row>
    <row r="598" spans="6:18" ht="13" x14ac:dyDescent="0.15">
      <c r="F598" s="3"/>
      <c r="G598" s="3"/>
      <c r="R598" s="3"/>
    </row>
    <row r="599" spans="6:18" ht="13" x14ac:dyDescent="0.15">
      <c r="F599" s="3"/>
      <c r="G599" s="3"/>
      <c r="R599" s="3"/>
    </row>
    <row r="600" spans="6:18" ht="13" x14ac:dyDescent="0.15">
      <c r="F600" s="3"/>
      <c r="G600" s="3"/>
      <c r="R600" s="3"/>
    </row>
    <row r="601" spans="6:18" ht="13" x14ac:dyDescent="0.15">
      <c r="F601" s="3"/>
      <c r="G601" s="3"/>
      <c r="R601" s="3"/>
    </row>
    <row r="602" spans="6:18" ht="13" x14ac:dyDescent="0.15">
      <c r="F602" s="3"/>
      <c r="G602" s="3"/>
      <c r="R602" s="3"/>
    </row>
    <row r="603" spans="6:18" ht="13" x14ac:dyDescent="0.15">
      <c r="F603" s="3"/>
      <c r="G603" s="3"/>
      <c r="R603" s="3"/>
    </row>
    <row r="604" spans="6:18" ht="13" x14ac:dyDescent="0.15">
      <c r="F604" s="3"/>
      <c r="G604" s="3"/>
      <c r="R604" s="3"/>
    </row>
    <row r="605" spans="6:18" ht="13" x14ac:dyDescent="0.15">
      <c r="F605" s="3"/>
      <c r="G605" s="3"/>
      <c r="R605" s="3"/>
    </row>
    <row r="606" spans="6:18" ht="13" x14ac:dyDescent="0.15">
      <c r="F606" s="3"/>
      <c r="G606" s="3"/>
      <c r="R606" s="3"/>
    </row>
    <row r="607" spans="6:18" ht="13" x14ac:dyDescent="0.15">
      <c r="F607" s="3"/>
      <c r="G607" s="3"/>
      <c r="R607" s="3"/>
    </row>
    <row r="608" spans="6:18" ht="13" x14ac:dyDescent="0.15">
      <c r="F608" s="3"/>
      <c r="G608" s="3"/>
      <c r="R608" s="3"/>
    </row>
    <row r="609" spans="6:18" ht="13" x14ac:dyDescent="0.15">
      <c r="F609" s="3"/>
      <c r="G609" s="3"/>
      <c r="R609" s="3"/>
    </row>
    <row r="610" spans="6:18" ht="13" x14ac:dyDescent="0.15">
      <c r="F610" s="3"/>
      <c r="G610" s="3"/>
      <c r="R610" s="3"/>
    </row>
    <row r="611" spans="6:18" ht="13" x14ac:dyDescent="0.15">
      <c r="F611" s="3"/>
      <c r="G611" s="3"/>
      <c r="R611" s="3"/>
    </row>
    <row r="612" spans="6:18" ht="13" x14ac:dyDescent="0.15">
      <c r="F612" s="3"/>
      <c r="G612" s="3"/>
      <c r="R612" s="3"/>
    </row>
    <row r="613" spans="6:18" ht="13" x14ac:dyDescent="0.15">
      <c r="F613" s="3"/>
      <c r="G613" s="3"/>
      <c r="R613" s="3"/>
    </row>
    <row r="614" spans="6:18" ht="13" x14ac:dyDescent="0.15">
      <c r="F614" s="3"/>
      <c r="G614" s="3"/>
      <c r="R614" s="3"/>
    </row>
    <row r="615" spans="6:18" ht="13" x14ac:dyDescent="0.15">
      <c r="F615" s="3"/>
      <c r="G615" s="3"/>
      <c r="R615" s="3"/>
    </row>
    <row r="616" spans="6:18" ht="13" x14ac:dyDescent="0.15">
      <c r="F616" s="3"/>
      <c r="G616" s="3"/>
      <c r="R616" s="3"/>
    </row>
    <row r="617" spans="6:18" ht="13" x14ac:dyDescent="0.15">
      <c r="F617" s="3"/>
      <c r="G617" s="3"/>
      <c r="R617" s="3"/>
    </row>
    <row r="618" spans="6:18" ht="13" x14ac:dyDescent="0.15">
      <c r="F618" s="3"/>
      <c r="G618" s="3"/>
      <c r="R618" s="3"/>
    </row>
    <row r="619" spans="6:18" ht="13" x14ac:dyDescent="0.15">
      <c r="F619" s="3"/>
      <c r="G619" s="3"/>
      <c r="R619" s="3"/>
    </row>
    <row r="620" spans="6:18" ht="13" x14ac:dyDescent="0.15">
      <c r="F620" s="3"/>
      <c r="G620" s="3"/>
      <c r="R620" s="3"/>
    </row>
    <row r="621" spans="6:18" ht="13" x14ac:dyDescent="0.15">
      <c r="F621" s="3"/>
      <c r="G621" s="3"/>
      <c r="R621" s="3"/>
    </row>
    <row r="622" spans="6:18" ht="13" x14ac:dyDescent="0.15">
      <c r="F622" s="3"/>
      <c r="G622" s="3"/>
      <c r="R622" s="3"/>
    </row>
    <row r="623" spans="6:18" ht="13" x14ac:dyDescent="0.15">
      <c r="F623" s="3"/>
      <c r="G623" s="3"/>
      <c r="R623" s="3"/>
    </row>
    <row r="624" spans="6:18" ht="13" x14ac:dyDescent="0.15">
      <c r="F624" s="3"/>
      <c r="G624" s="3"/>
      <c r="R624" s="3"/>
    </row>
    <row r="625" spans="6:18" ht="13" x14ac:dyDescent="0.15">
      <c r="F625" s="3"/>
      <c r="G625" s="3"/>
      <c r="R625" s="3"/>
    </row>
    <row r="626" spans="6:18" ht="13" x14ac:dyDescent="0.15">
      <c r="F626" s="3"/>
      <c r="G626" s="3"/>
      <c r="R626" s="3"/>
    </row>
    <row r="627" spans="6:18" ht="13" x14ac:dyDescent="0.15">
      <c r="F627" s="3"/>
      <c r="G627" s="3"/>
      <c r="R627" s="3"/>
    </row>
    <row r="628" spans="6:18" ht="13" x14ac:dyDescent="0.15">
      <c r="F628" s="3"/>
      <c r="G628" s="3"/>
      <c r="R628" s="3"/>
    </row>
    <row r="629" spans="6:18" ht="13" x14ac:dyDescent="0.15">
      <c r="F629" s="3"/>
      <c r="G629" s="3"/>
      <c r="R629" s="3"/>
    </row>
    <row r="630" spans="6:18" ht="13" x14ac:dyDescent="0.15">
      <c r="F630" s="3"/>
      <c r="G630" s="3"/>
      <c r="R630" s="3"/>
    </row>
    <row r="631" spans="6:18" ht="13" x14ac:dyDescent="0.15">
      <c r="F631" s="3"/>
      <c r="G631" s="3"/>
      <c r="R631" s="3"/>
    </row>
    <row r="632" spans="6:18" ht="13" x14ac:dyDescent="0.15">
      <c r="F632" s="3"/>
      <c r="G632" s="3"/>
      <c r="R632" s="3"/>
    </row>
    <row r="633" spans="6:18" ht="13" x14ac:dyDescent="0.15">
      <c r="F633" s="3"/>
      <c r="G633" s="3"/>
      <c r="R633" s="3"/>
    </row>
    <row r="634" spans="6:18" ht="13" x14ac:dyDescent="0.15">
      <c r="F634" s="3"/>
      <c r="G634" s="3"/>
      <c r="R634" s="3"/>
    </row>
    <row r="635" spans="6:18" ht="13" x14ac:dyDescent="0.15">
      <c r="F635" s="3"/>
      <c r="G635" s="3"/>
      <c r="R635" s="3"/>
    </row>
    <row r="636" spans="6:18" ht="13" x14ac:dyDescent="0.15">
      <c r="F636" s="3"/>
      <c r="G636" s="3"/>
      <c r="R636" s="3"/>
    </row>
    <row r="637" spans="6:18" ht="13" x14ac:dyDescent="0.15">
      <c r="F637" s="3"/>
      <c r="G637" s="3"/>
      <c r="R637" s="3"/>
    </row>
    <row r="638" spans="6:18" ht="13" x14ac:dyDescent="0.15">
      <c r="F638" s="3"/>
      <c r="G638" s="3"/>
      <c r="R638" s="3"/>
    </row>
    <row r="639" spans="6:18" ht="13" x14ac:dyDescent="0.15">
      <c r="F639" s="3"/>
      <c r="G639" s="3"/>
      <c r="R639" s="3"/>
    </row>
    <row r="640" spans="6:18" ht="13" x14ac:dyDescent="0.15">
      <c r="F640" s="3"/>
      <c r="G640" s="3"/>
      <c r="R640" s="3"/>
    </row>
    <row r="641" spans="6:18" ht="13" x14ac:dyDescent="0.15">
      <c r="F641" s="3"/>
      <c r="G641" s="3"/>
      <c r="R641" s="3"/>
    </row>
    <row r="642" spans="6:18" ht="13" x14ac:dyDescent="0.15">
      <c r="F642" s="3"/>
      <c r="G642" s="3"/>
      <c r="R642" s="3"/>
    </row>
    <row r="643" spans="6:18" ht="13" x14ac:dyDescent="0.15">
      <c r="F643" s="3"/>
      <c r="G643" s="3"/>
      <c r="R643" s="3"/>
    </row>
    <row r="644" spans="6:18" ht="13" x14ac:dyDescent="0.15">
      <c r="F644" s="3"/>
      <c r="G644" s="3"/>
      <c r="R644" s="3"/>
    </row>
    <row r="645" spans="6:18" ht="13" x14ac:dyDescent="0.15">
      <c r="F645" s="3"/>
      <c r="G645" s="3"/>
      <c r="R645" s="3"/>
    </row>
    <row r="646" spans="6:18" ht="13" x14ac:dyDescent="0.15">
      <c r="F646" s="3"/>
      <c r="G646" s="3"/>
      <c r="R646" s="3"/>
    </row>
    <row r="647" spans="6:18" ht="13" x14ac:dyDescent="0.15">
      <c r="F647" s="3"/>
      <c r="G647" s="3"/>
      <c r="R647" s="3"/>
    </row>
    <row r="648" spans="6:18" ht="13" x14ac:dyDescent="0.15">
      <c r="F648" s="3"/>
      <c r="G648" s="3"/>
      <c r="R648" s="3"/>
    </row>
    <row r="649" spans="6:18" ht="13" x14ac:dyDescent="0.15">
      <c r="F649" s="3"/>
      <c r="G649" s="3"/>
      <c r="R649" s="3"/>
    </row>
    <row r="650" spans="6:18" ht="13" x14ac:dyDescent="0.15">
      <c r="F650" s="3"/>
      <c r="G650" s="3"/>
      <c r="R650" s="3"/>
    </row>
    <row r="651" spans="6:18" ht="13" x14ac:dyDescent="0.15">
      <c r="F651" s="3"/>
      <c r="G651" s="3"/>
      <c r="R651" s="3"/>
    </row>
    <row r="652" spans="6:18" ht="13" x14ac:dyDescent="0.15">
      <c r="F652" s="3"/>
      <c r="G652" s="3"/>
      <c r="R652" s="3"/>
    </row>
    <row r="653" spans="6:18" ht="13" x14ac:dyDescent="0.15">
      <c r="F653" s="3"/>
      <c r="G653" s="3"/>
      <c r="R653" s="3"/>
    </row>
    <row r="654" spans="6:18" ht="13" x14ac:dyDescent="0.15">
      <c r="F654" s="3"/>
      <c r="G654" s="3"/>
      <c r="R654" s="3"/>
    </row>
    <row r="655" spans="6:18" ht="13" x14ac:dyDescent="0.15">
      <c r="F655" s="3"/>
      <c r="G655" s="3"/>
      <c r="R655" s="3"/>
    </row>
    <row r="656" spans="6:18" ht="13" x14ac:dyDescent="0.15">
      <c r="F656" s="3"/>
      <c r="G656" s="3"/>
      <c r="R656" s="3"/>
    </row>
    <row r="657" spans="6:18" ht="13" x14ac:dyDescent="0.15">
      <c r="F657" s="3"/>
      <c r="G657" s="3"/>
      <c r="R657" s="3"/>
    </row>
    <row r="658" spans="6:18" ht="13" x14ac:dyDescent="0.15">
      <c r="F658" s="3"/>
      <c r="G658" s="3"/>
      <c r="R658" s="3"/>
    </row>
    <row r="659" spans="6:18" ht="13" x14ac:dyDescent="0.15">
      <c r="F659" s="3"/>
      <c r="G659" s="3"/>
      <c r="R659" s="3"/>
    </row>
    <row r="660" spans="6:18" ht="13" x14ac:dyDescent="0.15">
      <c r="F660" s="3"/>
      <c r="G660" s="3"/>
      <c r="R660" s="3"/>
    </row>
    <row r="661" spans="6:18" ht="13" x14ac:dyDescent="0.15">
      <c r="F661" s="3"/>
      <c r="G661" s="3"/>
      <c r="R661" s="3"/>
    </row>
    <row r="662" spans="6:18" ht="13" x14ac:dyDescent="0.15">
      <c r="F662" s="3"/>
      <c r="G662" s="3"/>
      <c r="R662" s="3"/>
    </row>
    <row r="663" spans="6:18" ht="13" x14ac:dyDescent="0.15">
      <c r="F663" s="3"/>
      <c r="G663" s="3"/>
      <c r="R663" s="3"/>
    </row>
    <row r="664" spans="6:18" ht="13" x14ac:dyDescent="0.15">
      <c r="F664" s="3"/>
      <c r="G664" s="3"/>
      <c r="R664" s="3"/>
    </row>
    <row r="665" spans="6:18" ht="13" x14ac:dyDescent="0.15">
      <c r="F665" s="3"/>
      <c r="G665" s="3"/>
      <c r="R665" s="3"/>
    </row>
    <row r="666" spans="6:18" ht="13" x14ac:dyDescent="0.15">
      <c r="F666" s="3"/>
      <c r="G666" s="3"/>
      <c r="R666" s="3"/>
    </row>
    <row r="667" spans="6:18" ht="13" x14ac:dyDescent="0.15">
      <c r="F667" s="3"/>
      <c r="G667" s="3"/>
      <c r="R667" s="3"/>
    </row>
    <row r="668" spans="6:18" ht="13" x14ac:dyDescent="0.15">
      <c r="F668" s="3"/>
      <c r="G668" s="3"/>
      <c r="R668" s="3"/>
    </row>
    <row r="669" spans="6:18" ht="13" x14ac:dyDescent="0.15">
      <c r="F669" s="3"/>
      <c r="G669" s="3"/>
      <c r="R669" s="3"/>
    </row>
    <row r="670" spans="6:18" ht="13" x14ac:dyDescent="0.15">
      <c r="F670" s="3"/>
      <c r="G670" s="3"/>
      <c r="R670" s="3"/>
    </row>
    <row r="671" spans="6:18" ht="13" x14ac:dyDescent="0.15">
      <c r="F671" s="3"/>
      <c r="G671" s="3"/>
      <c r="R671" s="3"/>
    </row>
    <row r="672" spans="6:18" ht="13" x14ac:dyDescent="0.15">
      <c r="F672" s="3"/>
      <c r="G672" s="3"/>
      <c r="R672" s="3"/>
    </row>
    <row r="673" spans="6:18" ht="13" x14ac:dyDescent="0.15">
      <c r="F673" s="3"/>
      <c r="G673" s="3"/>
      <c r="R673" s="3"/>
    </row>
    <row r="674" spans="6:18" ht="13" x14ac:dyDescent="0.15">
      <c r="F674" s="3"/>
      <c r="G674" s="3"/>
      <c r="R674" s="3"/>
    </row>
    <row r="675" spans="6:18" ht="13" x14ac:dyDescent="0.15">
      <c r="F675" s="3"/>
      <c r="G675" s="3"/>
      <c r="R675" s="3"/>
    </row>
    <row r="676" spans="6:18" ht="13" x14ac:dyDescent="0.15">
      <c r="F676" s="3"/>
      <c r="G676" s="3"/>
      <c r="R676" s="3"/>
    </row>
    <row r="677" spans="6:18" ht="13" x14ac:dyDescent="0.15">
      <c r="F677" s="3"/>
      <c r="G677" s="3"/>
      <c r="R677" s="3"/>
    </row>
    <row r="678" spans="6:18" ht="13" x14ac:dyDescent="0.15">
      <c r="F678" s="3"/>
      <c r="G678" s="3"/>
      <c r="R678" s="3"/>
    </row>
    <row r="679" spans="6:18" ht="13" x14ac:dyDescent="0.15">
      <c r="F679" s="3"/>
      <c r="G679" s="3"/>
      <c r="R679" s="3"/>
    </row>
    <row r="680" spans="6:18" ht="13" x14ac:dyDescent="0.15">
      <c r="F680" s="3"/>
      <c r="G680" s="3"/>
      <c r="R680" s="3"/>
    </row>
    <row r="681" spans="6:18" ht="13" x14ac:dyDescent="0.15">
      <c r="F681" s="3"/>
      <c r="G681" s="3"/>
      <c r="R681" s="3"/>
    </row>
    <row r="682" spans="6:18" ht="13" x14ac:dyDescent="0.15">
      <c r="F682" s="3"/>
      <c r="G682" s="3"/>
      <c r="R682" s="3"/>
    </row>
    <row r="683" spans="6:18" ht="13" x14ac:dyDescent="0.15">
      <c r="F683" s="3"/>
      <c r="G683" s="3"/>
      <c r="R683" s="3"/>
    </row>
    <row r="684" spans="6:18" ht="13" x14ac:dyDescent="0.15">
      <c r="F684" s="3"/>
      <c r="G684" s="3"/>
      <c r="R684" s="3"/>
    </row>
    <row r="685" spans="6:18" ht="13" x14ac:dyDescent="0.15">
      <c r="F685" s="3"/>
      <c r="G685" s="3"/>
      <c r="R685" s="3"/>
    </row>
    <row r="686" spans="6:18" ht="13" x14ac:dyDescent="0.15">
      <c r="F686" s="3"/>
      <c r="G686" s="3"/>
      <c r="R686" s="3"/>
    </row>
    <row r="687" spans="6:18" ht="13" x14ac:dyDescent="0.15">
      <c r="F687" s="3"/>
      <c r="G687" s="3"/>
      <c r="R687" s="3"/>
    </row>
    <row r="688" spans="6:18" ht="13" x14ac:dyDescent="0.15">
      <c r="F688" s="3"/>
      <c r="G688" s="3"/>
      <c r="R688" s="3"/>
    </row>
    <row r="689" spans="6:18" ht="13" x14ac:dyDescent="0.15">
      <c r="F689" s="3"/>
      <c r="G689" s="3"/>
      <c r="R689" s="3"/>
    </row>
    <row r="690" spans="6:18" ht="13" x14ac:dyDescent="0.15">
      <c r="F690" s="3"/>
      <c r="G690" s="3"/>
      <c r="R690" s="3"/>
    </row>
    <row r="691" spans="6:18" ht="13" x14ac:dyDescent="0.15">
      <c r="F691" s="3"/>
      <c r="G691" s="3"/>
      <c r="R691" s="3"/>
    </row>
    <row r="692" spans="6:18" ht="13" x14ac:dyDescent="0.15">
      <c r="F692" s="3"/>
      <c r="G692" s="3"/>
      <c r="R692" s="3"/>
    </row>
    <row r="693" spans="6:18" ht="13" x14ac:dyDescent="0.15">
      <c r="F693" s="3"/>
      <c r="G693" s="3"/>
      <c r="R693" s="3"/>
    </row>
    <row r="694" spans="6:18" ht="13" x14ac:dyDescent="0.15">
      <c r="F694" s="3"/>
      <c r="G694" s="3"/>
      <c r="R694" s="3"/>
    </row>
    <row r="695" spans="6:18" ht="13" x14ac:dyDescent="0.15">
      <c r="F695" s="3"/>
      <c r="G695" s="3"/>
      <c r="R695" s="3"/>
    </row>
    <row r="696" spans="6:18" ht="13" x14ac:dyDescent="0.15">
      <c r="F696" s="3"/>
      <c r="G696" s="3"/>
      <c r="R696" s="3"/>
    </row>
    <row r="697" spans="6:18" ht="13" x14ac:dyDescent="0.15">
      <c r="F697" s="3"/>
      <c r="G697" s="3"/>
      <c r="R697" s="3"/>
    </row>
    <row r="698" spans="6:18" ht="13" x14ac:dyDescent="0.15">
      <c r="F698" s="3"/>
      <c r="G698" s="3"/>
      <c r="R698" s="3"/>
    </row>
    <row r="699" spans="6:18" ht="13" x14ac:dyDescent="0.15">
      <c r="F699" s="3"/>
      <c r="G699" s="3"/>
      <c r="R699" s="3"/>
    </row>
    <row r="700" spans="6:18" ht="13" x14ac:dyDescent="0.15">
      <c r="F700" s="3"/>
      <c r="G700" s="3"/>
      <c r="R700" s="3"/>
    </row>
    <row r="701" spans="6:18" ht="13" x14ac:dyDescent="0.15">
      <c r="F701" s="3"/>
      <c r="G701" s="3"/>
      <c r="R701" s="3"/>
    </row>
    <row r="702" spans="6:18" ht="13" x14ac:dyDescent="0.15">
      <c r="F702" s="3"/>
      <c r="G702" s="3"/>
      <c r="R702" s="3"/>
    </row>
    <row r="703" spans="6:18" ht="13" x14ac:dyDescent="0.15">
      <c r="F703" s="3"/>
      <c r="G703" s="3"/>
      <c r="R703" s="3"/>
    </row>
    <row r="704" spans="6:18" ht="13" x14ac:dyDescent="0.15">
      <c r="F704" s="3"/>
      <c r="G704" s="3"/>
      <c r="R704" s="3"/>
    </row>
    <row r="705" spans="6:18" ht="13" x14ac:dyDescent="0.15">
      <c r="F705" s="3"/>
      <c r="G705" s="3"/>
      <c r="R705" s="3"/>
    </row>
    <row r="706" spans="6:18" ht="13" x14ac:dyDescent="0.15">
      <c r="F706" s="3"/>
      <c r="G706" s="3"/>
      <c r="R706" s="3"/>
    </row>
    <row r="707" spans="6:18" ht="13" x14ac:dyDescent="0.15">
      <c r="F707" s="3"/>
      <c r="G707" s="3"/>
      <c r="R707" s="3"/>
    </row>
    <row r="708" spans="6:18" ht="13" x14ac:dyDescent="0.15">
      <c r="F708" s="3"/>
      <c r="G708" s="3"/>
      <c r="R708" s="3"/>
    </row>
    <row r="709" spans="6:18" ht="13" x14ac:dyDescent="0.15">
      <c r="F709" s="3"/>
      <c r="G709" s="3"/>
      <c r="R709" s="3"/>
    </row>
    <row r="710" spans="6:18" ht="13" x14ac:dyDescent="0.15">
      <c r="F710" s="3"/>
      <c r="G710" s="3"/>
      <c r="R710" s="3"/>
    </row>
    <row r="711" spans="6:18" ht="13" x14ac:dyDescent="0.15">
      <c r="F711" s="3"/>
      <c r="G711" s="3"/>
      <c r="R711" s="3"/>
    </row>
    <row r="712" spans="6:18" ht="13" x14ac:dyDescent="0.15">
      <c r="F712" s="3"/>
      <c r="G712" s="3"/>
      <c r="R712" s="3"/>
    </row>
    <row r="713" spans="6:18" ht="13" x14ac:dyDescent="0.15">
      <c r="F713" s="3"/>
      <c r="G713" s="3"/>
      <c r="R713" s="3"/>
    </row>
    <row r="714" spans="6:18" ht="13" x14ac:dyDescent="0.15">
      <c r="F714" s="3"/>
      <c r="G714" s="3"/>
      <c r="R714" s="3"/>
    </row>
    <row r="715" spans="6:18" ht="13" x14ac:dyDescent="0.15">
      <c r="F715" s="3"/>
      <c r="G715" s="3"/>
      <c r="R715" s="3"/>
    </row>
    <row r="716" spans="6:18" ht="13" x14ac:dyDescent="0.15">
      <c r="F716" s="3"/>
      <c r="G716" s="3"/>
      <c r="R716" s="3"/>
    </row>
    <row r="717" spans="6:18" ht="13" x14ac:dyDescent="0.15">
      <c r="F717" s="3"/>
      <c r="G717" s="3"/>
      <c r="R717" s="3"/>
    </row>
    <row r="718" spans="6:18" ht="13" x14ac:dyDescent="0.15">
      <c r="F718" s="3"/>
      <c r="G718" s="3"/>
      <c r="R718" s="3"/>
    </row>
    <row r="719" spans="6:18" ht="13" x14ac:dyDescent="0.15">
      <c r="F719" s="3"/>
      <c r="G719" s="3"/>
      <c r="R719" s="3"/>
    </row>
    <row r="720" spans="6:18" ht="13" x14ac:dyDescent="0.15">
      <c r="F720" s="3"/>
      <c r="G720" s="3"/>
      <c r="R720" s="3"/>
    </row>
    <row r="721" spans="6:18" ht="13" x14ac:dyDescent="0.15">
      <c r="F721" s="3"/>
      <c r="G721" s="3"/>
      <c r="R721" s="3"/>
    </row>
    <row r="722" spans="6:18" ht="13" x14ac:dyDescent="0.15">
      <c r="F722" s="3"/>
      <c r="G722" s="3"/>
      <c r="R722" s="3"/>
    </row>
    <row r="723" spans="6:18" ht="13" x14ac:dyDescent="0.15">
      <c r="F723" s="3"/>
      <c r="G723" s="3"/>
      <c r="R723" s="3"/>
    </row>
    <row r="724" spans="6:18" ht="13" x14ac:dyDescent="0.15">
      <c r="F724" s="3"/>
      <c r="G724" s="3"/>
      <c r="R724" s="3"/>
    </row>
    <row r="725" spans="6:18" ht="13" x14ac:dyDescent="0.15">
      <c r="F725" s="3"/>
      <c r="G725" s="3"/>
      <c r="R725" s="3"/>
    </row>
    <row r="726" spans="6:18" ht="13" x14ac:dyDescent="0.15">
      <c r="F726" s="3"/>
      <c r="G726" s="3"/>
      <c r="R726" s="3"/>
    </row>
    <row r="727" spans="6:18" ht="13" x14ac:dyDescent="0.15">
      <c r="F727" s="3"/>
      <c r="G727" s="3"/>
      <c r="R727" s="3"/>
    </row>
    <row r="728" spans="6:18" ht="13" x14ac:dyDescent="0.15">
      <c r="F728" s="3"/>
      <c r="G728" s="3"/>
      <c r="R728" s="3"/>
    </row>
    <row r="729" spans="6:18" ht="13" x14ac:dyDescent="0.15">
      <c r="F729" s="3"/>
      <c r="G729" s="3"/>
      <c r="R729" s="3"/>
    </row>
    <row r="730" spans="6:18" ht="13" x14ac:dyDescent="0.15">
      <c r="F730" s="3"/>
      <c r="G730" s="3"/>
      <c r="R730" s="3"/>
    </row>
    <row r="731" spans="6:18" ht="13" x14ac:dyDescent="0.15">
      <c r="F731" s="3"/>
      <c r="G731" s="3"/>
      <c r="R731" s="3"/>
    </row>
    <row r="732" spans="6:18" ht="13" x14ac:dyDescent="0.15">
      <c r="F732" s="3"/>
      <c r="G732" s="3"/>
      <c r="R732" s="3"/>
    </row>
    <row r="733" spans="6:18" ht="13" x14ac:dyDescent="0.15">
      <c r="F733" s="3"/>
      <c r="G733" s="3"/>
      <c r="R733" s="3"/>
    </row>
    <row r="734" spans="6:18" ht="13" x14ac:dyDescent="0.15">
      <c r="F734" s="3"/>
      <c r="G734" s="3"/>
      <c r="R734" s="3"/>
    </row>
    <row r="735" spans="6:18" ht="13" x14ac:dyDescent="0.15">
      <c r="F735" s="3"/>
      <c r="G735" s="3"/>
      <c r="R735" s="3"/>
    </row>
    <row r="736" spans="6:18" ht="13" x14ac:dyDescent="0.15">
      <c r="F736" s="3"/>
      <c r="G736" s="3"/>
      <c r="R736" s="3"/>
    </row>
    <row r="737" spans="6:18" ht="13" x14ac:dyDescent="0.15">
      <c r="F737" s="3"/>
      <c r="G737" s="3"/>
      <c r="R737" s="3"/>
    </row>
    <row r="738" spans="6:18" ht="13" x14ac:dyDescent="0.15">
      <c r="F738" s="3"/>
      <c r="G738" s="3"/>
      <c r="R738" s="3"/>
    </row>
    <row r="739" spans="6:18" ht="13" x14ac:dyDescent="0.15">
      <c r="F739" s="3"/>
      <c r="G739" s="3"/>
      <c r="R739" s="3"/>
    </row>
    <row r="740" spans="6:18" ht="13" x14ac:dyDescent="0.15">
      <c r="F740" s="3"/>
      <c r="G740" s="3"/>
      <c r="R740" s="3"/>
    </row>
    <row r="741" spans="6:18" ht="13" x14ac:dyDescent="0.15">
      <c r="F741" s="3"/>
      <c r="G741" s="3"/>
      <c r="R741" s="3"/>
    </row>
    <row r="742" spans="6:18" ht="13" x14ac:dyDescent="0.15">
      <c r="F742" s="3"/>
      <c r="G742" s="3"/>
      <c r="R742" s="3"/>
    </row>
    <row r="743" spans="6:18" ht="13" x14ac:dyDescent="0.15">
      <c r="F743" s="3"/>
      <c r="G743" s="3"/>
      <c r="R743" s="3"/>
    </row>
    <row r="744" spans="6:18" ht="13" x14ac:dyDescent="0.15">
      <c r="F744" s="3"/>
      <c r="G744" s="3"/>
      <c r="R744" s="3"/>
    </row>
    <row r="745" spans="6:18" ht="13" x14ac:dyDescent="0.15">
      <c r="F745" s="3"/>
      <c r="G745" s="3"/>
      <c r="R745" s="3"/>
    </row>
    <row r="746" spans="6:18" ht="13" x14ac:dyDescent="0.15">
      <c r="F746" s="3"/>
      <c r="G746" s="3"/>
      <c r="R746" s="3"/>
    </row>
    <row r="747" spans="6:18" ht="13" x14ac:dyDescent="0.15">
      <c r="F747" s="3"/>
      <c r="G747" s="3"/>
      <c r="R747" s="3"/>
    </row>
    <row r="748" spans="6:18" ht="13" x14ac:dyDescent="0.15">
      <c r="F748" s="3"/>
      <c r="G748" s="3"/>
      <c r="R748" s="3"/>
    </row>
    <row r="749" spans="6:18" ht="13" x14ac:dyDescent="0.15">
      <c r="F749" s="3"/>
      <c r="G749" s="3"/>
      <c r="R749" s="3"/>
    </row>
    <row r="750" spans="6:18" ht="13" x14ac:dyDescent="0.15">
      <c r="F750" s="3"/>
      <c r="G750" s="3"/>
      <c r="R750" s="3"/>
    </row>
    <row r="751" spans="6:18" ht="13" x14ac:dyDescent="0.15">
      <c r="F751" s="3"/>
      <c r="G751" s="3"/>
      <c r="R751" s="3"/>
    </row>
    <row r="752" spans="6:18" ht="13" x14ac:dyDescent="0.15">
      <c r="F752" s="3"/>
      <c r="G752" s="3"/>
      <c r="R752" s="3"/>
    </row>
    <row r="753" spans="6:18" ht="13" x14ac:dyDescent="0.15">
      <c r="F753" s="3"/>
      <c r="G753" s="3"/>
      <c r="R753" s="3"/>
    </row>
    <row r="754" spans="6:18" ht="13" x14ac:dyDescent="0.15">
      <c r="F754" s="3"/>
      <c r="G754" s="3"/>
      <c r="R754" s="3"/>
    </row>
    <row r="755" spans="6:18" ht="13" x14ac:dyDescent="0.15">
      <c r="F755" s="3"/>
      <c r="G755" s="3"/>
      <c r="R755" s="3"/>
    </row>
    <row r="756" spans="6:18" ht="13" x14ac:dyDescent="0.15">
      <c r="F756" s="3"/>
      <c r="G756" s="3"/>
      <c r="R756" s="3"/>
    </row>
    <row r="757" spans="6:18" ht="13" x14ac:dyDescent="0.15">
      <c r="F757" s="3"/>
      <c r="G757" s="3"/>
      <c r="R757" s="3"/>
    </row>
    <row r="758" spans="6:18" ht="13" x14ac:dyDescent="0.15">
      <c r="F758" s="3"/>
      <c r="G758" s="3"/>
      <c r="R758" s="3"/>
    </row>
    <row r="759" spans="6:18" ht="13" x14ac:dyDescent="0.15">
      <c r="F759" s="3"/>
      <c r="G759" s="3"/>
      <c r="R759" s="3"/>
    </row>
    <row r="760" spans="6:18" ht="13" x14ac:dyDescent="0.15">
      <c r="F760" s="3"/>
      <c r="G760" s="3"/>
      <c r="R760" s="3"/>
    </row>
    <row r="761" spans="6:18" ht="13" x14ac:dyDescent="0.15">
      <c r="F761" s="3"/>
      <c r="G761" s="3"/>
      <c r="R761" s="3"/>
    </row>
    <row r="762" spans="6:18" ht="13" x14ac:dyDescent="0.15">
      <c r="F762" s="3"/>
      <c r="G762" s="3"/>
      <c r="R762" s="3"/>
    </row>
    <row r="763" spans="6:18" ht="13" x14ac:dyDescent="0.15">
      <c r="F763" s="3"/>
      <c r="G763" s="3"/>
      <c r="R763" s="3"/>
    </row>
    <row r="764" spans="6:18" ht="13" x14ac:dyDescent="0.15">
      <c r="F764" s="3"/>
      <c r="G764" s="3"/>
      <c r="R764" s="3"/>
    </row>
    <row r="765" spans="6:18" ht="13" x14ac:dyDescent="0.15">
      <c r="F765" s="3"/>
      <c r="G765" s="3"/>
      <c r="R765" s="3"/>
    </row>
    <row r="766" spans="6:18" ht="13" x14ac:dyDescent="0.15">
      <c r="F766" s="3"/>
      <c r="G766" s="3"/>
      <c r="R766" s="3"/>
    </row>
    <row r="767" spans="6:18" ht="13" x14ac:dyDescent="0.15">
      <c r="F767" s="3"/>
      <c r="G767" s="3"/>
      <c r="R767" s="3"/>
    </row>
    <row r="768" spans="6:18" ht="13" x14ac:dyDescent="0.15">
      <c r="F768" s="3"/>
      <c r="G768" s="3"/>
      <c r="R768" s="3"/>
    </row>
    <row r="769" spans="6:18" ht="13" x14ac:dyDescent="0.15">
      <c r="F769" s="3"/>
      <c r="G769" s="3"/>
      <c r="R769" s="3"/>
    </row>
    <row r="770" spans="6:18" ht="13" x14ac:dyDescent="0.15">
      <c r="F770" s="3"/>
      <c r="G770" s="3"/>
      <c r="R770" s="3"/>
    </row>
    <row r="771" spans="6:18" ht="13" x14ac:dyDescent="0.15">
      <c r="F771" s="3"/>
      <c r="G771" s="3"/>
      <c r="R771" s="3"/>
    </row>
    <row r="772" spans="6:18" ht="13" x14ac:dyDescent="0.15">
      <c r="F772" s="3"/>
      <c r="G772" s="3"/>
      <c r="R772" s="3"/>
    </row>
    <row r="773" spans="6:18" ht="13" x14ac:dyDescent="0.15">
      <c r="F773" s="3"/>
      <c r="G773" s="3"/>
      <c r="R773" s="3"/>
    </row>
    <row r="774" spans="6:18" ht="13" x14ac:dyDescent="0.15">
      <c r="F774" s="3"/>
      <c r="G774" s="3"/>
      <c r="R774" s="3"/>
    </row>
    <row r="775" spans="6:18" ht="13" x14ac:dyDescent="0.15">
      <c r="F775" s="3"/>
      <c r="G775" s="3"/>
      <c r="R775" s="3"/>
    </row>
    <row r="776" spans="6:18" ht="13" x14ac:dyDescent="0.15">
      <c r="F776" s="3"/>
      <c r="G776" s="3"/>
      <c r="R776" s="3"/>
    </row>
    <row r="777" spans="6:18" ht="13" x14ac:dyDescent="0.15">
      <c r="F777" s="3"/>
      <c r="G777" s="3"/>
      <c r="R777" s="3"/>
    </row>
    <row r="778" spans="6:18" ht="13" x14ac:dyDescent="0.15">
      <c r="F778" s="3"/>
      <c r="G778" s="3"/>
      <c r="R778" s="3"/>
    </row>
    <row r="779" spans="6:18" ht="13" x14ac:dyDescent="0.15">
      <c r="F779" s="3"/>
      <c r="G779" s="3"/>
      <c r="R779" s="3"/>
    </row>
    <row r="780" spans="6:18" ht="13" x14ac:dyDescent="0.15">
      <c r="F780" s="3"/>
      <c r="G780" s="3"/>
      <c r="R780" s="3"/>
    </row>
    <row r="781" spans="6:18" ht="13" x14ac:dyDescent="0.15">
      <c r="F781" s="3"/>
      <c r="G781" s="3"/>
      <c r="R781" s="3"/>
    </row>
    <row r="782" spans="6:18" ht="13" x14ac:dyDescent="0.15">
      <c r="F782" s="3"/>
      <c r="G782" s="3"/>
      <c r="R782" s="3"/>
    </row>
    <row r="783" spans="6:18" ht="13" x14ac:dyDescent="0.15">
      <c r="F783" s="3"/>
      <c r="G783" s="3"/>
      <c r="R783" s="3"/>
    </row>
    <row r="784" spans="6:18" ht="13" x14ac:dyDescent="0.15">
      <c r="F784" s="3"/>
      <c r="G784" s="3"/>
      <c r="R784" s="3"/>
    </row>
    <row r="785" spans="6:18" ht="13" x14ac:dyDescent="0.15">
      <c r="F785" s="3"/>
      <c r="G785" s="3"/>
      <c r="R785" s="3"/>
    </row>
    <row r="786" spans="6:18" ht="13" x14ac:dyDescent="0.15">
      <c r="F786" s="3"/>
      <c r="G786" s="3"/>
      <c r="R786" s="3"/>
    </row>
    <row r="787" spans="6:18" ht="13" x14ac:dyDescent="0.15">
      <c r="F787" s="3"/>
      <c r="G787" s="3"/>
      <c r="R787" s="3"/>
    </row>
    <row r="788" spans="6:18" ht="13" x14ac:dyDescent="0.15">
      <c r="F788" s="3"/>
      <c r="G788" s="3"/>
      <c r="R788" s="3"/>
    </row>
    <row r="789" spans="6:18" ht="13" x14ac:dyDescent="0.15">
      <c r="F789" s="3"/>
      <c r="G789" s="3"/>
      <c r="R789" s="3"/>
    </row>
    <row r="790" spans="6:18" ht="13" x14ac:dyDescent="0.15">
      <c r="F790" s="3"/>
      <c r="G790" s="3"/>
      <c r="R790" s="3"/>
    </row>
    <row r="791" spans="6:18" ht="13" x14ac:dyDescent="0.15">
      <c r="F791" s="3"/>
      <c r="G791" s="3"/>
      <c r="R791" s="3"/>
    </row>
    <row r="792" spans="6:18" ht="13" x14ac:dyDescent="0.15">
      <c r="F792" s="3"/>
      <c r="G792" s="3"/>
      <c r="R792" s="3"/>
    </row>
    <row r="793" spans="6:18" ht="13" x14ac:dyDescent="0.15">
      <c r="F793" s="3"/>
      <c r="G793" s="3"/>
      <c r="R793" s="3"/>
    </row>
    <row r="794" spans="6:18" ht="13" x14ac:dyDescent="0.15">
      <c r="F794" s="3"/>
      <c r="G794" s="3"/>
      <c r="R794" s="3"/>
    </row>
    <row r="795" spans="6:18" ht="13" x14ac:dyDescent="0.15">
      <c r="F795" s="3"/>
      <c r="G795" s="3"/>
      <c r="R795" s="3"/>
    </row>
    <row r="796" spans="6:18" ht="13" x14ac:dyDescent="0.15">
      <c r="F796" s="3"/>
      <c r="G796" s="3"/>
      <c r="R796" s="3"/>
    </row>
    <row r="797" spans="6:18" ht="13" x14ac:dyDescent="0.15">
      <c r="F797" s="3"/>
      <c r="G797" s="3"/>
      <c r="R797" s="3"/>
    </row>
    <row r="798" spans="6:18" ht="13" x14ac:dyDescent="0.15">
      <c r="F798" s="3"/>
      <c r="G798" s="3"/>
      <c r="R798" s="3"/>
    </row>
    <row r="799" spans="6:18" ht="13" x14ac:dyDescent="0.15">
      <c r="F799" s="3"/>
      <c r="G799" s="3"/>
      <c r="R799" s="3"/>
    </row>
    <row r="800" spans="6:18" ht="13" x14ac:dyDescent="0.15">
      <c r="F800" s="3"/>
      <c r="G800" s="3"/>
      <c r="R800" s="3"/>
    </row>
    <row r="801" spans="6:18" ht="13" x14ac:dyDescent="0.15">
      <c r="F801" s="3"/>
      <c r="G801" s="3"/>
      <c r="R801" s="3"/>
    </row>
    <row r="802" spans="6:18" ht="13" x14ac:dyDescent="0.15">
      <c r="F802" s="3"/>
      <c r="G802" s="3"/>
      <c r="R802" s="3"/>
    </row>
    <row r="803" spans="6:18" ht="13" x14ac:dyDescent="0.15">
      <c r="F803" s="3"/>
      <c r="G803" s="3"/>
      <c r="R803" s="3"/>
    </row>
    <row r="804" spans="6:18" ht="13" x14ac:dyDescent="0.15">
      <c r="F804" s="3"/>
      <c r="G804" s="3"/>
      <c r="R804" s="3"/>
    </row>
    <row r="805" spans="6:18" ht="13" x14ac:dyDescent="0.15">
      <c r="F805" s="3"/>
      <c r="G805" s="3"/>
      <c r="R805" s="3"/>
    </row>
    <row r="806" spans="6:18" ht="13" x14ac:dyDescent="0.15">
      <c r="F806" s="3"/>
      <c r="G806" s="3"/>
      <c r="R806" s="3"/>
    </row>
    <row r="807" spans="6:18" ht="13" x14ac:dyDescent="0.15">
      <c r="F807" s="3"/>
      <c r="G807" s="3"/>
      <c r="R807" s="3"/>
    </row>
    <row r="808" spans="6:18" ht="13" x14ac:dyDescent="0.15">
      <c r="F808" s="3"/>
      <c r="G808" s="3"/>
      <c r="R808" s="3"/>
    </row>
    <row r="809" spans="6:18" ht="13" x14ac:dyDescent="0.15">
      <c r="F809" s="3"/>
      <c r="G809" s="3"/>
      <c r="R809" s="3"/>
    </row>
    <row r="810" spans="6:18" ht="13" x14ac:dyDescent="0.15">
      <c r="F810" s="3"/>
      <c r="G810" s="3"/>
      <c r="R810" s="3"/>
    </row>
    <row r="811" spans="6:18" ht="13" x14ac:dyDescent="0.15">
      <c r="F811" s="3"/>
      <c r="G811" s="3"/>
      <c r="R811" s="3"/>
    </row>
    <row r="812" spans="6:18" ht="13" x14ac:dyDescent="0.15">
      <c r="F812" s="3"/>
      <c r="G812" s="3"/>
      <c r="R812" s="3"/>
    </row>
    <row r="813" spans="6:18" ht="13" x14ac:dyDescent="0.15">
      <c r="F813" s="3"/>
      <c r="G813" s="3"/>
      <c r="R813" s="3"/>
    </row>
    <row r="814" spans="6:18" ht="13" x14ac:dyDescent="0.15">
      <c r="F814" s="3"/>
      <c r="G814" s="3"/>
      <c r="R814" s="3"/>
    </row>
    <row r="815" spans="6:18" ht="13" x14ac:dyDescent="0.15">
      <c r="F815" s="3"/>
      <c r="G815" s="3"/>
      <c r="R815" s="3"/>
    </row>
    <row r="816" spans="6:18" ht="13" x14ac:dyDescent="0.15">
      <c r="F816" s="3"/>
      <c r="G816" s="3"/>
      <c r="R816" s="3"/>
    </row>
    <row r="817" spans="6:18" ht="13" x14ac:dyDescent="0.15">
      <c r="F817" s="3"/>
      <c r="G817" s="3"/>
      <c r="R817" s="3"/>
    </row>
    <row r="818" spans="6:18" ht="13" x14ac:dyDescent="0.15">
      <c r="F818" s="3"/>
      <c r="G818" s="3"/>
      <c r="R818" s="3"/>
    </row>
    <row r="819" spans="6:18" ht="13" x14ac:dyDescent="0.15">
      <c r="F819" s="3"/>
      <c r="G819" s="3"/>
      <c r="R819" s="3"/>
    </row>
    <row r="820" spans="6:18" ht="13" x14ac:dyDescent="0.15">
      <c r="F820" s="3"/>
      <c r="G820" s="3"/>
      <c r="R820" s="3"/>
    </row>
    <row r="821" spans="6:18" ht="13" x14ac:dyDescent="0.15">
      <c r="F821" s="3"/>
      <c r="G821" s="3"/>
      <c r="R821" s="3"/>
    </row>
    <row r="822" spans="6:18" ht="13" x14ac:dyDescent="0.15">
      <c r="F822" s="3"/>
      <c r="G822" s="3"/>
      <c r="R822" s="3"/>
    </row>
    <row r="823" spans="6:18" ht="13" x14ac:dyDescent="0.15">
      <c r="F823" s="3"/>
      <c r="G823" s="3"/>
      <c r="R823" s="3"/>
    </row>
    <row r="824" spans="6:18" ht="13" x14ac:dyDescent="0.15">
      <c r="F824" s="3"/>
      <c r="G824" s="3"/>
      <c r="R824" s="3"/>
    </row>
    <row r="825" spans="6:18" ht="13" x14ac:dyDescent="0.15">
      <c r="F825" s="3"/>
      <c r="G825" s="3"/>
      <c r="R825" s="3"/>
    </row>
    <row r="826" spans="6:18" ht="13" x14ac:dyDescent="0.15">
      <c r="F826" s="3"/>
      <c r="G826" s="3"/>
      <c r="R826" s="3"/>
    </row>
    <row r="827" spans="6:18" ht="13" x14ac:dyDescent="0.15">
      <c r="F827" s="3"/>
      <c r="G827" s="3"/>
      <c r="R827" s="3"/>
    </row>
    <row r="828" spans="6:18" ht="13" x14ac:dyDescent="0.15">
      <c r="F828" s="3"/>
      <c r="G828" s="3"/>
      <c r="R828" s="3"/>
    </row>
    <row r="829" spans="6:18" ht="13" x14ac:dyDescent="0.15">
      <c r="F829" s="3"/>
      <c r="G829" s="3"/>
      <c r="R829" s="3"/>
    </row>
    <row r="830" spans="6:18" ht="13" x14ac:dyDescent="0.15">
      <c r="F830" s="3"/>
      <c r="G830" s="3"/>
      <c r="R830" s="3"/>
    </row>
    <row r="831" spans="6:18" ht="13" x14ac:dyDescent="0.15">
      <c r="F831" s="3"/>
      <c r="G831" s="3"/>
      <c r="R831" s="3"/>
    </row>
    <row r="832" spans="6:18" ht="13" x14ac:dyDescent="0.15">
      <c r="F832" s="3"/>
      <c r="G832" s="3"/>
      <c r="R832" s="3"/>
    </row>
    <row r="833" spans="6:18" ht="13" x14ac:dyDescent="0.15">
      <c r="F833" s="3"/>
      <c r="G833" s="3"/>
      <c r="R833" s="3"/>
    </row>
    <row r="834" spans="6:18" ht="13" x14ac:dyDescent="0.15">
      <c r="F834" s="3"/>
      <c r="G834" s="3"/>
      <c r="R834" s="3"/>
    </row>
    <row r="835" spans="6:18" ht="13" x14ac:dyDescent="0.15">
      <c r="F835" s="3"/>
      <c r="G835" s="3"/>
      <c r="R835" s="3"/>
    </row>
    <row r="836" spans="6:18" ht="13" x14ac:dyDescent="0.15">
      <c r="F836" s="3"/>
      <c r="G836" s="3"/>
      <c r="R836" s="3"/>
    </row>
    <row r="837" spans="6:18" ht="13" x14ac:dyDescent="0.15">
      <c r="F837" s="3"/>
      <c r="G837" s="3"/>
      <c r="R837" s="3"/>
    </row>
    <row r="838" spans="6:18" ht="13" x14ac:dyDescent="0.15">
      <c r="F838" s="3"/>
      <c r="G838" s="3"/>
      <c r="R838" s="3"/>
    </row>
    <row r="839" spans="6:18" ht="13" x14ac:dyDescent="0.15">
      <c r="F839" s="3"/>
      <c r="G839" s="3"/>
      <c r="R839" s="3"/>
    </row>
    <row r="840" spans="6:18" ht="13" x14ac:dyDescent="0.15">
      <c r="F840" s="3"/>
      <c r="G840" s="3"/>
      <c r="R840" s="3"/>
    </row>
    <row r="841" spans="6:18" ht="13" x14ac:dyDescent="0.15">
      <c r="F841" s="3"/>
      <c r="G841" s="3"/>
      <c r="R841" s="3"/>
    </row>
    <row r="842" spans="6:18" ht="13" x14ac:dyDescent="0.15">
      <c r="F842" s="3"/>
      <c r="G842" s="3"/>
      <c r="R842" s="3"/>
    </row>
    <row r="843" spans="6:18" ht="13" x14ac:dyDescent="0.15">
      <c r="F843" s="3"/>
      <c r="G843" s="3"/>
      <c r="R843" s="3"/>
    </row>
    <row r="844" spans="6:18" ht="13" x14ac:dyDescent="0.15">
      <c r="F844" s="3"/>
      <c r="G844" s="3"/>
      <c r="R844" s="3"/>
    </row>
    <row r="845" spans="6:18" ht="13" x14ac:dyDescent="0.15">
      <c r="F845" s="3"/>
      <c r="G845" s="3"/>
      <c r="R845" s="3"/>
    </row>
    <row r="846" spans="6:18" ht="13" x14ac:dyDescent="0.15">
      <c r="F846" s="3"/>
      <c r="G846" s="3"/>
      <c r="R846" s="3"/>
    </row>
    <row r="847" spans="6:18" ht="13" x14ac:dyDescent="0.15">
      <c r="F847" s="3"/>
      <c r="G847" s="3"/>
      <c r="R847" s="3"/>
    </row>
    <row r="848" spans="6:18" ht="13" x14ac:dyDescent="0.15">
      <c r="F848" s="3"/>
      <c r="G848" s="3"/>
      <c r="R848" s="3"/>
    </row>
    <row r="849" spans="6:18" ht="13" x14ac:dyDescent="0.15">
      <c r="F849" s="3"/>
      <c r="G849" s="3"/>
      <c r="R849" s="3"/>
    </row>
    <row r="850" spans="6:18" ht="13" x14ac:dyDescent="0.15">
      <c r="F850" s="3"/>
      <c r="G850" s="3"/>
      <c r="R850" s="3"/>
    </row>
    <row r="851" spans="6:18" ht="13" x14ac:dyDescent="0.15">
      <c r="F851" s="3"/>
      <c r="G851" s="3"/>
      <c r="R851" s="3"/>
    </row>
    <row r="852" spans="6:18" ht="13" x14ac:dyDescent="0.15">
      <c r="F852" s="3"/>
      <c r="G852" s="3"/>
      <c r="R852" s="3"/>
    </row>
    <row r="853" spans="6:18" ht="13" x14ac:dyDescent="0.15">
      <c r="F853" s="3"/>
      <c r="G853" s="3"/>
      <c r="R853" s="3"/>
    </row>
    <row r="854" spans="6:18" ht="13" x14ac:dyDescent="0.15">
      <c r="F854" s="3"/>
      <c r="G854" s="3"/>
      <c r="R854" s="3"/>
    </row>
    <row r="855" spans="6:18" ht="13" x14ac:dyDescent="0.15">
      <c r="F855" s="3"/>
      <c r="G855" s="3"/>
      <c r="R855" s="3"/>
    </row>
    <row r="856" spans="6:18" ht="13" x14ac:dyDescent="0.15">
      <c r="F856" s="3"/>
      <c r="G856" s="3"/>
      <c r="R856" s="3"/>
    </row>
    <row r="857" spans="6:18" ht="13" x14ac:dyDescent="0.15">
      <c r="F857" s="3"/>
      <c r="G857" s="3"/>
      <c r="R857" s="3"/>
    </row>
    <row r="858" spans="6:18" ht="13" x14ac:dyDescent="0.15">
      <c r="F858" s="3"/>
      <c r="G858" s="3"/>
      <c r="R858" s="3"/>
    </row>
    <row r="859" spans="6:18" ht="13" x14ac:dyDescent="0.15">
      <c r="F859" s="3"/>
      <c r="G859" s="3"/>
      <c r="R859" s="3"/>
    </row>
    <row r="860" spans="6:18" ht="13" x14ac:dyDescent="0.15">
      <c r="F860" s="3"/>
      <c r="G860" s="3"/>
      <c r="R860" s="3"/>
    </row>
    <row r="861" spans="6:18" ht="13" x14ac:dyDescent="0.15">
      <c r="F861" s="3"/>
      <c r="G861" s="3"/>
      <c r="R861" s="3"/>
    </row>
    <row r="862" spans="6:18" ht="13" x14ac:dyDescent="0.15">
      <c r="F862" s="3"/>
      <c r="G862" s="3"/>
      <c r="R862" s="3"/>
    </row>
    <row r="863" spans="6:18" ht="13" x14ac:dyDescent="0.15">
      <c r="F863" s="3"/>
      <c r="G863" s="3"/>
      <c r="R863" s="3"/>
    </row>
    <row r="864" spans="6:18" ht="13" x14ac:dyDescent="0.15">
      <c r="F864" s="3"/>
      <c r="G864" s="3"/>
      <c r="R864" s="3"/>
    </row>
    <row r="865" spans="6:18" ht="13" x14ac:dyDescent="0.15">
      <c r="F865" s="3"/>
      <c r="G865" s="3"/>
      <c r="R865" s="3"/>
    </row>
    <row r="866" spans="6:18" ht="13" x14ac:dyDescent="0.15">
      <c r="F866" s="3"/>
      <c r="G866" s="3"/>
      <c r="R866" s="3"/>
    </row>
    <row r="867" spans="6:18" ht="13" x14ac:dyDescent="0.15">
      <c r="F867" s="3"/>
      <c r="G867" s="3"/>
      <c r="R867" s="3"/>
    </row>
    <row r="868" spans="6:18" ht="13" x14ac:dyDescent="0.15">
      <c r="F868" s="3"/>
      <c r="G868" s="3"/>
      <c r="R868" s="3"/>
    </row>
    <row r="869" spans="6:18" ht="13" x14ac:dyDescent="0.15">
      <c r="F869" s="3"/>
      <c r="G869" s="3"/>
      <c r="R869" s="3"/>
    </row>
    <row r="870" spans="6:18" ht="13" x14ac:dyDescent="0.15">
      <c r="F870" s="3"/>
      <c r="G870" s="3"/>
      <c r="R870" s="3"/>
    </row>
    <row r="871" spans="6:18" ht="13" x14ac:dyDescent="0.15">
      <c r="F871" s="3"/>
      <c r="G871" s="3"/>
      <c r="R871" s="3"/>
    </row>
    <row r="872" spans="6:18" ht="13" x14ac:dyDescent="0.15">
      <c r="F872" s="3"/>
      <c r="G872" s="3"/>
      <c r="R872" s="3"/>
    </row>
    <row r="873" spans="6:18" ht="13" x14ac:dyDescent="0.15">
      <c r="F873" s="3"/>
      <c r="G873" s="3"/>
      <c r="R873" s="3"/>
    </row>
    <row r="874" spans="6:18" ht="13" x14ac:dyDescent="0.15">
      <c r="F874" s="3"/>
      <c r="G874" s="3"/>
      <c r="R874" s="3"/>
    </row>
    <row r="875" spans="6:18" ht="13" x14ac:dyDescent="0.15">
      <c r="F875" s="3"/>
      <c r="G875" s="3"/>
      <c r="R875" s="3"/>
    </row>
    <row r="876" spans="6:18" ht="13" x14ac:dyDescent="0.15">
      <c r="F876" s="3"/>
      <c r="G876" s="3"/>
      <c r="R876" s="3"/>
    </row>
    <row r="877" spans="6:18" ht="13" x14ac:dyDescent="0.15">
      <c r="F877" s="3"/>
      <c r="G877" s="3"/>
      <c r="R877" s="3"/>
    </row>
    <row r="878" spans="6:18" ht="13" x14ac:dyDescent="0.15">
      <c r="F878" s="3"/>
      <c r="G878" s="3"/>
      <c r="R878" s="3"/>
    </row>
    <row r="879" spans="6:18" ht="13" x14ac:dyDescent="0.15">
      <c r="F879" s="3"/>
      <c r="G879" s="3"/>
      <c r="R879" s="3"/>
    </row>
    <row r="880" spans="6:18" ht="13" x14ac:dyDescent="0.15">
      <c r="F880" s="3"/>
      <c r="G880" s="3"/>
      <c r="R880" s="3"/>
    </row>
    <row r="881" spans="6:18" ht="13" x14ac:dyDescent="0.15">
      <c r="F881" s="3"/>
      <c r="G881" s="3"/>
      <c r="R881" s="3"/>
    </row>
    <row r="882" spans="6:18" ht="13" x14ac:dyDescent="0.15">
      <c r="F882" s="3"/>
      <c r="G882" s="3"/>
      <c r="R882" s="3"/>
    </row>
    <row r="883" spans="6:18" ht="13" x14ac:dyDescent="0.15">
      <c r="F883" s="3"/>
      <c r="G883" s="3"/>
      <c r="R883" s="3"/>
    </row>
    <row r="884" spans="6:18" ht="13" x14ac:dyDescent="0.15">
      <c r="F884" s="3"/>
      <c r="G884" s="3"/>
      <c r="R884" s="3"/>
    </row>
    <row r="885" spans="6:18" ht="13" x14ac:dyDescent="0.15">
      <c r="F885" s="3"/>
      <c r="G885" s="3"/>
      <c r="R885" s="3"/>
    </row>
    <row r="886" spans="6:18" ht="13" x14ac:dyDescent="0.15">
      <c r="F886" s="3"/>
      <c r="G886" s="3"/>
      <c r="R886" s="3"/>
    </row>
    <row r="887" spans="6:18" ht="13" x14ac:dyDescent="0.15">
      <c r="F887" s="3"/>
      <c r="G887" s="3"/>
      <c r="R887" s="3"/>
    </row>
    <row r="888" spans="6:18" ht="13" x14ac:dyDescent="0.15">
      <c r="F888" s="3"/>
      <c r="G888" s="3"/>
      <c r="R888" s="3"/>
    </row>
    <row r="889" spans="6:18" ht="13" x14ac:dyDescent="0.15">
      <c r="F889" s="3"/>
      <c r="G889" s="3"/>
      <c r="R889" s="3"/>
    </row>
    <row r="890" spans="6:18" ht="13" x14ac:dyDescent="0.15">
      <c r="F890" s="3"/>
      <c r="G890" s="3"/>
      <c r="R890" s="3"/>
    </row>
    <row r="891" spans="6:18" ht="13" x14ac:dyDescent="0.15">
      <c r="F891" s="3"/>
      <c r="G891" s="3"/>
      <c r="R891" s="3"/>
    </row>
    <row r="892" spans="6:18" ht="13" x14ac:dyDescent="0.15">
      <c r="F892" s="3"/>
      <c r="G892" s="3"/>
      <c r="R892" s="3"/>
    </row>
    <row r="893" spans="6:18" ht="13" x14ac:dyDescent="0.15">
      <c r="F893" s="3"/>
      <c r="G893" s="3"/>
      <c r="R893" s="3"/>
    </row>
    <row r="894" spans="6:18" ht="13" x14ac:dyDescent="0.15">
      <c r="F894" s="3"/>
      <c r="G894" s="3"/>
      <c r="R894" s="3"/>
    </row>
    <row r="895" spans="6:18" ht="13" x14ac:dyDescent="0.15">
      <c r="F895" s="3"/>
      <c r="G895" s="3"/>
      <c r="R895" s="3"/>
    </row>
    <row r="896" spans="6:18" ht="13" x14ac:dyDescent="0.15">
      <c r="F896" s="3"/>
      <c r="G896" s="3"/>
      <c r="R896" s="3"/>
    </row>
    <row r="897" spans="6:18" ht="13" x14ac:dyDescent="0.15">
      <c r="F897" s="3"/>
      <c r="G897" s="3"/>
      <c r="R897" s="3"/>
    </row>
    <row r="898" spans="6:18" ht="13" x14ac:dyDescent="0.15">
      <c r="F898" s="3"/>
      <c r="G898" s="3"/>
      <c r="R898" s="3"/>
    </row>
    <row r="899" spans="6:18" ht="13" x14ac:dyDescent="0.15">
      <c r="F899" s="3"/>
      <c r="G899" s="3"/>
      <c r="R899" s="3"/>
    </row>
    <row r="900" spans="6:18" ht="13" x14ac:dyDescent="0.15">
      <c r="F900" s="3"/>
      <c r="G900" s="3"/>
      <c r="R900" s="3"/>
    </row>
    <row r="901" spans="6:18" ht="13" x14ac:dyDescent="0.15">
      <c r="F901" s="3"/>
      <c r="G901" s="3"/>
      <c r="R901" s="3"/>
    </row>
    <row r="902" spans="6:18" ht="13" x14ac:dyDescent="0.15">
      <c r="F902" s="3"/>
      <c r="G902" s="3"/>
      <c r="R902" s="3"/>
    </row>
    <row r="903" spans="6:18" ht="13" x14ac:dyDescent="0.15">
      <c r="F903" s="3"/>
      <c r="G903" s="3"/>
      <c r="R903" s="3"/>
    </row>
    <row r="904" spans="6:18" ht="13" x14ac:dyDescent="0.15">
      <c r="F904" s="3"/>
      <c r="G904" s="3"/>
      <c r="R904" s="3"/>
    </row>
    <row r="905" spans="6:18" ht="13" x14ac:dyDescent="0.15">
      <c r="F905" s="3"/>
      <c r="G905" s="3"/>
      <c r="R905" s="3"/>
    </row>
    <row r="906" spans="6:18" ht="13" x14ac:dyDescent="0.15">
      <c r="F906" s="3"/>
      <c r="G906" s="3"/>
      <c r="R906" s="3"/>
    </row>
    <row r="907" spans="6:18" ht="13" x14ac:dyDescent="0.15">
      <c r="F907" s="3"/>
      <c r="G907" s="3"/>
      <c r="R907" s="3"/>
    </row>
    <row r="908" spans="6:18" ht="13" x14ac:dyDescent="0.15">
      <c r="F908" s="3"/>
      <c r="G908" s="3"/>
      <c r="R908" s="3"/>
    </row>
    <row r="909" spans="6:18" ht="13" x14ac:dyDescent="0.15">
      <c r="F909" s="3"/>
      <c r="G909" s="3"/>
      <c r="R909" s="3"/>
    </row>
    <row r="910" spans="6:18" ht="13" x14ac:dyDescent="0.15">
      <c r="F910" s="3"/>
      <c r="G910" s="3"/>
      <c r="R910" s="3"/>
    </row>
    <row r="911" spans="6:18" ht="13" x14ac:dyDescent="0.15">
      <c r="F911" s="3"/>
      <c r="G911" s="3"/>
      <c r="R911" s="3"/>
    </row>
    <row r="912" spans="6:18" ht="13" x14ac:dyDescent="0.15">
      <c r="F912" s="3"/>
      <c r="G912" s="3"/>
      <c r="R912" s="3"/>
    </row>
    <row r="913" spans="6:18" ht="13" x14ac:dyDescent="0.15">
      <c r="F913" s="3"/>
      <c r="G913" s="3"/>
      <c r="R913" s="3"/>
    </row>
    <row r="914" spans="6:18" ht="13" x14ac:dyDescent="0.15">
      <c r="F914" s="3"/>
      <c r="G914" s="3"/>
      <c r="R914" s="3"/>
    </row>
    <row r="915" spans="6:18" ht="13" x14ac:dyDescent="0.15">
      <c r="F915" s="3"/>
      <c r="G915" s="3"/>
      <c r="R915" s="3"/>
    </row>
    <row r="916" spans="6:18" ht="13" x14ac:dyDescent="0.15">
      <c r="F916" s="3"/>
      <c r="G916" s="3"/>
      <c r="R916" s="3"/>
    </row>
    <row r="917" spans="6:18" ht="13" x14ac:dyDescent="0.15">
      <c r="F917" s="3"/>
      <c r="G917" s="3"/>
      <c r="R917" s="3"/>
    </row>
    <row r="918" spans="6:18" ht="13" x14ac:dyDescent="0.15">
      <c r="F918" s="3"/>
      <c r="G918" s="3"/>
      <c r="R918" s="3"/>
    </row>
    <row r="919" spans="6:18" ht="13" x14ac:dyDescent="0.15">
      <c r="F919" s="3"/>
      <c r="G919" s="3"/>
      <c r="R919" s="3"/>
    </row>
    <row r="920" spans="6:18" ht="13" x14ac:dyDescent="0.15">
      <c r="F920" s="3"/>
      <c r="G920" s="3"/>
      <c r="R920" s="3"/>
    </row>
    <row r="921" spans="6:18" ht="13" x14ac:dyDescent="0.15">
      <c r="F921" s="3"/>
      <c r="G921" s="3"/>
      <c r="R921" s="3"/>
    </row>
    <row r="922" spans="6:18" ht="13" x14ac:dyDescent="0.15">
      <c r="F922" s="3"/>
      <c r="G922" s="3"/>
      <c r="R922" s="3"/>
    </row>
    <row r="923" spans="6:18" ht="13" x14ac:dyDescent="0.15">
      <c r="F923" s="3"/>
      <c r="G923" s="3"/>
      <c r="R923" s="3"/>
    </row>
    <row r="924" spans="6:18" ht="13" x14ac:dyDescent="0.15">
      <c r="F924" s="3"/>
      <c r="G924" s="3"/>
      <c r="R924" s="3"/>
    </row>
    <row r="925" spans="6:18" ht="13" x14ac:dyDescent="0.15">
      <c r="F925" s="3"/>
      <c r="G925" s="3"/>
      <c r="R925" s="3"/>
    </row>
    <row r="926" spans="6:18" ht="13" x14ac:dyDescent="0.15">
      <c r="F926" s="3"/>
      <c r="G926" s="3"/>
      <c r="R926" s="3"/>
    </row>
    <row r="927" spans="6:18" ht="13" x14ac:dyDescent="0.15">
      <c r="F927" s="3"/>
      <c r="G927" s="3"/>
      <c r="R927" s="3"/>
    </row>
    <row r="928" spans="6:18" ht="13" x14ac:dyDescent="0.15">
      <c r="F928" s="3"/>
      <c r="G928" s="3"/>
      <c r="R928" s="3"/>
    </row>
    <row r="929" spans="6:18" ht="13" x14ac:dyDescent="0.15">
      <c r="F929" s="3"/>
      <c r="G929" s="3"/>
      <c r="R929" s="3"/>
    </row>
    <row r="930" spans="6:18" ht="13" x14ac:dyDescent="0.15">
      <c r="F930" s="3"/>
      <c r="G930" s="3"/>
      <c r="R930" s="3"/>
    </row>
    <row r="931" spans="6:18" ht="13" x14ac:dyDescent="0.15">
      <c r="F931" s="3"/>
      <c r="G931" s="3"/>
      <c r="R931" s="3"/>
    </row>
    <row r="932" spans="6:18" ht="13" x14ac:dyDescent="0.15">
      <c r="F932" s="3"/>
      <c r="G932" s="3"/>
      <c r="R932" s="3"/>
    </row>
    <row r="933" spans="6:18" ht="13" x14ac:dyDescent="0.15">
      <c r="F933" s="3"/>
      <c r="G933" s="3"/>
      <c r="R933" s="3"/>
    </row>
    <row r="934" spans="6:18" ht="13" x14ac:dyDescent="0.15">
      <c r="F934" s="3"/>
      <c r="G934" s="3"/>
      <c r="R934" s="3"/>
    </row>
    <row r="935" spans="6:18" ht="13" x14ac:dyDescent="0.15">
      <c r="F935" s="3"/>
      <c r="G935" s="3"/>
      <c r="R935" s="3"/>
    </row>
    <row r="936" spans="6:18" ht="13" x14ac:dyDescent="0.15">
      <c r="F936" s="3"/>
      <c r="G936" s="3"/>
      <c r="R936" s="3"/>
    </row>
    <row r="937" spans="6:18" ht="13" x14ac:dyDescent="0.15">
      <c r="F937" s="3"/>
      <c r="G937" s="3"/>
      <c r="R937" s="3"/>
    </row>
    <row r="938" spans="6:18" ht="13" x14ac:dyDescent="0.15">
      <c r="F938" s="3"/>
      <c r="G938" s="3"/>
      <c r="R938" s="3"/>
    </row>
    <row r="939" spans="6:18" ht="13" x14ac:dyDescent="0.15">
      <c r="F939" s="3"/>
      <c r="G939" s="3"/>
      <c r="R939" s="3"/>
    </row>
    <row r="940" spans="6:18" ht="13" x14ac:dyDescent="0.15">
      <c r="F940" s="3"/>
      <c r="G940" s="3"/>
      <c r="R940" s="3"/>
    </row>
    <row r="941" spans="6:18" ht="13" x14ac:dyDescent="0.15">
      <c r="F941" s="3"/>
      <c r="G941" s="3"/>
      <c r="R941" s="3"/>
    </row>
    <row r="942" spans="6:18" ht="13" x14ac:dyDescent="0.15">
      <c r="F942" s="3"/>
      <c r="G942" s="3"/>
      <c r="R942" s="3"/>
    </row>
    <row r="943" spans="6:18" ht="13" x14ac:dyDescent="0.15">
      <c r="F943" s="3"/>
      <c r="G943" s="3"/>
      <c r="R943" s="3"/>
    </row>
    <row r="944" spans="6:18" ht="13" x14ac:dyDescent="0.15">
      <c r="F944" s="3"/>
      <c r="G944" s="3"/>
      <c r="R944" s="3"/>
    </row>
    <row r="945" spans="6:18" ht="13" x14ac:dyDescent="0.15">
      <c r="F945" s="3"/>
      <c r="G945" s="3"/>
      <c r="R945" s="3"/>
    </row>
    <row r="946" spans="6:18" ht="13" x14ac:dyDescent="0.15">
      <c r="F946" s="3"/>
      <c r="G946" s="3"/>
      <c r="R946" s="3"/>
    </row>
    <row r="947" spans="6:18" ht="13" x14ac:dyDescent="0.15">
      <c r="F947" s="3"/>
      <c r="G947" s="3"/>
      <c r="R947" s="3"/>
    </row>
    <row r="948" spans="6:18" ht="13" x14ac:dyDescent="0.15">
      <c r="F948" s="3"/>
      <c r="G948" s="3"/>
      <c r="R948" s="3"/>
    </row>
    <row r="949" spans="6:18" ht="13" x14ac:dyDescent="0.15">
      <c r="F949" s="3"/>
      <c r="G949" s="3"/>
      <c r="R949" s="3"/>
    </row>
    <row r="950" spans="6:18" ht="13" x14ac:dyDescent="0.15">
      <c r="F950" s="3"/>
      <c r="G950" s="3"/>
      <c r="R950" s="3"/>
    </row>
    <row r="951" spans="6:18" ht="13" x14ac:dyDescent="0.15">
      <c r="F951" s="3"/>
      <c r="G951" s="3"/>
      <c r="R951" s="3"/>
    </row>
    <row r="952" spans="6:18" ht="13" x14ac:dyDescent="0.15">
      <c r="F952" s="3"/>
      <c r="G952" s="3"/>
      <c r="R952" s="3"/>
    </row>
    <row r="953" spans="6:18" ht="13" x14ac:dyDescent="0.15">
      <c r="F953" s="3"/>
      <c r="G953" s="3"/>
      <c r="R953" s="3"/>
    </row>
    <row r="954" spans="6:18" ht="13" x14ac:dyDescent="0.15">
      <c r="F954" s="3"/>
      <c r="G954" s="3"/>
      <c r="R954" s="3"/>
    </row>
    <row r="955" spans="6:18" ht="13" x14ac:dyDescent="0.15">
      <c r="F955" s="3"/>
      <c r="G955" s="3"/>
      <c r="R955" s="3"/>
    </row>
    <row r="956" spans="6:18" ht="13" x14ac:dyDescent="0.15">
      <c r="F956" s="3"/>
      <c r="G956" s="3"/>
      <c r="R956" s="3"/>
    </row>
    <row r="957" spans="6:18" ht="13" x14ac:dyDescent="0.15">
      <c r="F957" s="3"/>
      <c r="G957" s="3"/>
      <c r="R957" s="3"/>
    </row>
    <row r="958" spans="6:18" ht="13" x14ac:dyDescent="0.15">
      <c r="F958" s="3"/>
      <c r="G958" s="3"/>
      <c r="R958" s="3"/>
    </row>
    <row r="959" spans="6:18" ht="13" x14ac:dyDescent="0.15">
      <c r="F959" s="3"/>
      <c r="G959" s="3"/>
      <c r="R959" s="3"/>
    </row>
    <row r="960" spans="6:18" ht="13" x14ac:dyDescent="0.15">
      <c r="F960" s="3"/>
      <c r="G960" s="3"/>
      <c r="R960" s="3"/>
    </row>
    <row r="961" spans="6:18" ht="13" x14ac:dyDescent="0.15">
      <c r="F961" s="3"/>
      <c r="G961" s="3"/>
      <c r="R961" s="3"/>
    </row>
    <row r="962" spans="6:18" ht="13" x14ac:dyDescent="0.15">
      <c r="F962" s="3"/>
      <c r="G962" s="3"/>
      <c r="R962" s="3"/>
    </row>
    <row r="963" spans="6:18" ht="13" x14ac:dyDescent="0.15">
      <c r="F963" s="3"/>
      <c r="G963" s="3"/>
      <c r="R963" s="3"/>
    </row>
    <row r="964" spans="6:18" ht="13" x14ac:dyDescent="0.15">
      <c r="F964" s="3"/>
      <c r="G964" s="3"/>
      <c r="R964" s="3"/>
    </row>
    <row r="965" spans="6:18" ht="13" x14ac:dyDescent="0.15">
      <c r="F965" s="3"/>
      <c r="G965" s="3"/>
      <c r="R965" s="3"/>
    </row>
    <row r="966" spans="6:18" ht="13" x14ac:dyDescent="0.15">
      <c r="F966" s="3"/>
      <c r="G966" s="3"/>
      <c r="R966" s="3"/>
    </row>
    <row r="967" spans="6:18" ht="13" x14ac:dyDescent="0.15">
      <c r="F967" s="3"/>
      <c r="G967" s="3"/>
      <c r="R967" s="3"/>
    </row>
    <row r="968" spans="6:18" ht="13" x14ac:dyDescent="0.15">
      <c r="F968" s="3"/>
      <c r="G968" s="3"/>
      <c r="R968" s="3"/>
    </row>
    <row r="969" spans="6:18" ht="13" x14ac:dyDescent="0.15">
      <c r="F969" s="3"/>
      <c r="G969" s="3"/>
      <c r="R969" s="3"/>
    </row>
    <row r="970" spans="6:18" ht="13" x14ac:dyDescent="0.15">
      <c r="F970" s="3"/>
      <c r="G970" s="3"/>
      <c r="R970" s="3"/>
    </row>
    <row r="971" spans="6:18" ht="13" x14ac:dyDescent="0.15">
      <c r="F971" s="3"/>
      <c r="G971" s="3"/>
      <c r="R971" s="3"/>
    </row>
    <row r="972" spans="6:18" ht="13" x14ac:dyDescent="0.15">
      <c r="F972" s="3"/>
      <c r="G972" s="3"/>
      <c r="R972" s="3"/>
    </row>
    <row r="973" spans="6:18" ht="13" x14ac:dyDescent="0.15">
      <c r="F973" s="3"/>
      <c r="G973" s="3"/>
      <c r="R973" s="3"/>
    </row>
    <row r="974" spans="6:18" ht="13" x14ac:dyDescent="0.15">
      <c r="F974" s="3"/>
      <c r="G974" s="3"/>
      <c r="R974" s="3"/>
    </row>
    <row r="975" spans="6:18" ht="13" x14ac:dyDescent="0.15">
      <c r="F975" s="3"/>
      <c r="G975" s="3"/>
      <c r="R975" s="3"/>
    </row>
    <row r="976" spans="6:18" ht="13" x14ac:dyDescent="0.15">
      <c r="F976" s="3"/>
      <c r="G976" s="3"/>
      <c r="R976" s="3"/>
    </row>
    <row r="977" spans="6:18" ht="13" x14ac:dyDescent="0.15">
      <c r="F977" s="3"/>
      <c r="G977" s="3"/>
      <c r="R977" s="3"/>
    </row>
    <row r="978" spans="6:18" ht="13" x14ac:dyDescent="0.15">
      <c r="F978" s="3"/>
      <c r="G978" s="3"/>
      <c r="R978" s="3"/>
    </row>
    <row r="979" spans="6:18" ht="13" x14ac:dyDescent="0.15">
      <c r="F979" s="3"/>
      <c r="G979" s="3"/>
      <c r="R979" s="3"/>
    </row>
    <row r="980" spans="6:18" ht="13" x14ac:dyDescent="0.15">
      <c r="F980" s="3"/>
      <c r="G980" s="3"/>
      <c r="R980" s="3"/>
    </row>
    <row r="981" spans="6:18" ht="13" x14ac:dyDescent="0.15">
      <c r="F981" s="3"/>
      <c r="G981" s="3"/>
      <c r="R981" s="3"/>
    </row>
    <row r="982" spans="6:18" ht="13" x14ac:dyDescent="0.15">
      <c r="F982" s="3"/>
      <c r="G982" s="3"/>
      <c r="R982" s="3"/>
    </row>
    <row r="983" spans="6:18" ht="13" x14ac:dyDescent="0.15">
      <c r="F983" s="3"/>
      <c r="G983" s="3"/>
      <c r="R983" s="3"/>
    </row>
    <row r="984" spans="6:18" ht="13" x14ac:dyDescent="0.15">
      <c r="F984" s="3"/>
      <c r="G984" s="3"/>
      <c r="R984" s="3"/>
    </row>
    <row r="985" spans="6:18" ht="13" x14ac:dyDescent="0.15">
      <c r="F985" s="3"/>
      <c r="G985" s="3"/>
      <c r="R985" s="3"/>
    </row>
    <row r="986" spans="6:18" ht="13" x14ac:dyDescent="0.15">
      <c r="F986" s="3"/>
      <c r="G986" s="3"/>
      <c r="R986" s="3"/>
    </row>
    <row r="987" spans="6:18" ht="13" x14ac:dyDescent="0.15">
      <c r="F987" s="3"/>
      <c r="G987" s="3"/>
      <c r="R987" s="3"/>
    </row>
    <row r="988" spans="6:18" ht="13" x14ac:dyDescent="0.15">
      <c r="F988" s="3"/>
      <c r="G988" s="3"/>
      <c r="R988" s="3"/>
    </row>
    <row r="989" spans="6:18" ht="13" x14ac:dyDescent="0.15">
      <c r="F989" s="3"/>
      <c r="G989" s="3"/>
      <c r="R989" s="3"/>
    </row>
    <row r="990" spans="6:18" ht="13" x14ac:dyDescent="0.15">
      <c r="F990" s="3"/>
      <c r="G990" s="3"/>
      <c r="R990" s="3"/>
    </row>
    <row r="991" spans="6:18" ht="13" x14ac:dyDescent="0.15">
      <c r="F991" s="3"/>
      <c r="G991" s="3"/>
      <c r="R991" s="3"/>
    </row>
    <row r="992" spans="6:18" ht="13" x14ac:dyDescent="0.15">
      <c r="F992" s="3"/>
      <c r="G992" s="3"/>
      <c r="R992" s="3"/>
    </row>
    <row r="993" spans="6:18" ht="13" x14ac:dyDescent="0.15">
      <c r="F993" s="3"/>
      <c r="G993" s="3"/>
      <c r="R993" s="3"/>
    </row>
    <row r="994" spans="6:18" ht="13" x14ac:dyDescent="0.15">
      <c r="F994" s="3"/>
      <c r="G994" s="3"/>
      <c r="R994" s="3"/>
    </row>
    <row r="995" spans="6:18" ht="13" x14ac:dyDescent="0.15">
      <c r="F995" s="3"/>
      <c r="G995" s="3"/>
      <c r="R995" s="3"/>
    </row>
    <row r="996" spans="6:18" ht="13" x14ac:dyDescent="0.15">
      <c r="F996" s="3"/>
      <c r="G996" s="3"/>
      <c r="R996" s="3"/>
    </row>
    <row r="997" spans="6:18" ht="13" x14ac:dyDescent="0.15">
      <c r="F997" s="3"/>
      <c r="G997" s="3"/>
      <c r="R997" s="3"/>
    </row>
    <row r="998" spans="6:18" ht="13" x14ac:dyDescent="0.15">
      <c r="F998" s="3"/>
      <c r="G998" s="3"/>
      <c r="R998" s="3"/>
    </row>
    <row r="999" spans="6:18" ht="13" x14ac:dyDescent="0.15">
      <c r="F999" s="3"/>
      <c r="G999" s="3"/>
      <c r="R999" s="3"/>
    </row>
    <row r="1000" spans="6:18" ht="13" x14ac:dyDescent="0.15">
      <c r="F1000" s="3"/>
      <c r="G1000" s="3"/>
      <c r="R1000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3"/>
  <sheetViews>
    <sheetView tabSelected="1" topLeftCell="F43" zoomScale="231" workbookViewId="0">
      <selection activeCell="F4" sqref="F4"/>
    </sheetView>
  </sheetViews>
  <sheetFormatPr baseColWidth="10" defaultColWidth="14.5" defaultRowHeight="15.75" customHeight="1" x14ac:dyDescent="0.15"/>
  <cols>
    <col min="1" max="1" width="24.5" customWidth="1"/>
    <col min="2" max="2" width="23.1640625" customWidth="1"/>
    <col min="3" max="3" width="5.6640625" customWidth="1"/>
    <col min="4" max="4" width="7.1640625" bestFit="1" customWidth="1"/>
    <col min="5" max="5" width="4.5" customWidth="1"/>
    <col min="6" max="6" width="21" customWidth="1"/>
    <col min="7" max="7" width="38.33203125" customWidth="1"/>
    <col min="8" max="8" width="6.6640625" style="12" customWidth="1"/>
    <col min="9" max="9" width="34.83203125" customWidth="1"/>
    <col min="10" max="10" width="5.1640625" bestFit="1" customWidth="1"/>
    <col min="11" max="15" width="14.5" customWidth="1"/>
    <col min="16" max="16" width="10.5" customWidth="1"/>
    <col min="17" max="20" width="14.5" customWidth="1"/>
    <col min="21" max="21" width="3.5" customWidth="1"/>
    <col min="22" max="22" width="5.1640625" bestFit="1" customWidth="1"/>
  </cols>
  <sheetData>
    <row r="1" spans="1:33" ht="15.75" customHeight="1" x14ac:dyDescent="0.15">
      <c r="A1" s="1" t="s">
        <v>0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185</v>
      </c>
      <c r="H1" s="2" t="s">
        <v>41</v>
      </c>
      <c r="I1" s="2" t="s">
        <v>45</v>
      </c>
      <c r="J1" s="2" t="s">
        <v>18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195</v>
      </c>
      <c r="R1" s="2" t="s">
        <v>196</v>
      </c>
      <c r="S1" s="2" t="s">
        <v>197</v>
      </c>
      <c r="T1" s="2" t="s">
        <v>198</v>
      </c>
      <c r="V1" s="2" t="s">
        <v>31</v>
      </c>
      <c r="W1" s="2" t="s">
        <v>200</v>
      </c>
      <c r="X1" s="2" t="s">
        <v>201</v>
      </c>
      <c r="Y1" s="2" t="s">
        <v>202</v>
      </c>
      <c r="Z1" s="2" t="s">
        <v>204</v>
      </c>
      <c r="AA1" s="2" t="s">
        <v>203</v>
      </c>
      <c r="AB1" s="2" t="s">
        <v>205</v>
      </c>
      <c r="AC1" s="2" t="s">
        <v>206</v>
      </c>
      <c r="AD1" s="2" t="s">
        <v>207</v>
      </c>
      <c r="AE1" s="2" t="s">
        <v>208</v>
      </c>
      <c r="AF1" s="2" t="s">
        <v>209</v>
      </c>
      <c r="AG1" s="2"/>
    </row>
    <row r="2" spans="1:33" ht="15.75" customHeight="1" x14ac:dyDescent="0.15">
      <c r="A2" s="1" t="s">
        <v>8</v>
      </c>
      <c r="B2" s="3" t="s">
        <v>12</v>
      </c>
      <c r="C2" s="3" t="s">
        <v>46</v>
      </c>
      <c r="D2" s="3">
        <v>0.99</v>
      </c>
      <c r="E2" s="3">
        <v>12</v>
      </c>
      <c r="F2" s="3" t="s">
        <v>47</v>
      </c>
      <c r="G2" s="3" t="s">
        <v>242</v>
      </c>
      <c r="H2" s="3">
        <v>0.99</v>
      </c>
      <c r="I2" s="3" t="s">
        <v>237</v>
      </c>
      <c r="J2">
        <v>150</v>
      </c>
      <c r="K2" s="13">
        <f>4.0034*J2+121.49</f>
        <v>722</v>
      </c>
      <c r="L2" s="13">
        <f>J2*4.7847-180.708</f>
        <v>536.99700000000007</v>
      </c>
      <c r="M2" s="13">
        <f>(1.699*J2)^1.143</f>
        <v>562.83790929327881</v>
      </c>
      <c r="N2" s="13">
        <f>(1.1655*J2)^1.21065</f>
        <v>518.80956217359699</v>
      </c>
      <c r="O2" s="13">
        <f>(2.21386*J2)^1.097</f>
        <v>583.17893653059605</v>
      </c>
      <c r="P2" s="13">
        <f>J2/0.24</f>
        <v>625</v>
      </c>
      <c r="Q2" s="13">
        <f>4.3851*J2-83.41</f>
        <v>574.35500000000013</v>
      </c>
      <c r="R2" s="13">
        <f>3.1996*J2^1.0426</f>
        <v>594.13951149207242</v>
      </c>
      <c r="S2" s="13">
        <f>5.589*J2-390.37</f>
        <v>447.98</v>
      </c>
      <c r="T2" s="13">
        <f>1.4769*(J2^1.1975)</f>
        <v>595.96447592149946</v>
      </c>
      <c r="V2">
        <v>150</v>
      </c>
      <c r="W2">
        <f>4.1598*V2 + 121.49</f>
        <v>745.45999999999992</v>
      </c>
      <c r="X2">
        <f>5.2579*V2-180.708</f>
        <v>607.97700000000009</v>
      </c>
      <c r="Y2">
        <f>(1.7883*V2)^1.143</f>
        <v>596.77642640349916</v>
      </c>
      <c r="Z2">
        <f>(1.2268*V2)^1.211</f>
        <v>553.03363681861799</v>
      </c>
      <c r="AA2">
        <f>(2.3304*V2)^1.097</f>
        <v>616.94058160735779</v>
      </c>
      <c r="AB2">
        <f>V2/0.23</f>
        <v>652.17391304347825</v>
      </c>
      <c r="AC2">
        <f>4.6131*V2-87.584</f>
        <v>604.38100000000009</v>
      </c>
      <c r="AD2">
        <f>3.2309*V2^1.0495</f>
        <v>621.05675914563778</v>
      </c>
      <c r="AE2">
        <f>5.4599*V2-289.37</f>
        <v>529.61500000000001</v>
      </c>
      <c r="AF2">
        <f>0.9913*V2^1.2526</f>
        <v>527.20196132123374</v>
      </c>
      <c r="AG2" s="2"/>
    </row>
    <row r="3" spans="1:33" ht="15.75" customHeight="1" x14ac:dyDescent="0.15">
      <c r="A3" s="1" t="s">
        <v>16</v>
      </c>
      <c r="B3" s="3" t="s">
        <v>19</v>
      </c>
      <c r="C3" s="3" t="s">
        <v>46</v>
      </c>
      <c r="D3" s="3">
        <v>0.98699999999999999</v>
      </c>
      <c r="E3" s="3">
        <v>237</v>
      </c>
      <c r="F3" s="3" t="s">
        <v>48</v>
      </c>
      <c r="G3" s="3" t="s">
        <v>186</v>
      </c>
      <c r="H3" s="3">
        <v>0.98699999999999999</v>
      </c>
      <c r="I3" s="3" t="s">
        <v>230</v>
      </c>
      <c r="J3">
        <v>200</v>
      </c>
      <c r="K3" s="13">
        <f t="shared" ref="K3:K29" si="0">4.0034*J3+121.49</f>
        <v>922.17000000000007</v>
      </c>
      <c r="L3" s="13">
        <f>J3*4.7847-180.708</f>
        <v>776.23199999999997</v>
      </c>
      <c r="M3" s="13">
        <f>(1.699*J3)^1.143</f>
        <v>781.96680450236715</v>
      </c>
      <c r="N3" s="13">
        <f>(1.1655*J3)^1.21065</f>
        <v>734.9622847385624</v>
      </c>
      <c r="O3" s="13">
        <f>(2.21386*J3)^1.097</f>
        <v>799.57576755810351</v>
      </c>
      <c r="P3" s="13">
        <f>J3/0.24</f>
        <v>833.33333333333337</v>
      </c>
      <c r="Q3" s="13">
        <f t="shared" ref="Q3:Q29" si="1">4.3851*J3-83.41</f>
        <v>793.61000000000013</v>
      </c>
      <c r="R3" s="13">
        <f t="shared" ref="R3:R29" si="2">3.1996*J3^1.0426</f>
        <v>801.95419146046925</v>
      </c>
      <c r="S3" s="13">
        <f>5.589*J3-390.37</f>
        <v>727.43000000000018</v>
      </c>
      <c r="T3" s="13">
        <f>1.4769*(J3^1.1975)</f>
        <v>841.07458564160675</v>
      </c>
      <c r="V3">
        <v>200</v>
      </c>
      <c r="W3">
        <f t="shared" ref="W3:W23" si="3">4.1598*V3 + 121.49</f>
        <v>953.44999999999993</v>
      </c>
      <c r="X3">
        <f>5.2579*V3-180.708</f>
        <v>870.87200000000018</v>
      </c>
      <c r="Y3">
        <f>(1.7883*V3)^1.143</f>
        <v>829.11855696259249</v>
      </c>
      <c r="Z3">
        <f>(1.2268*V3)^1.211</f>
        <v>783.52409588583771</v>
      </c>
      <c r="AA3">
        <f>(2.3304*V3)^1.097</f>
        <v>845.86515077360957</v>
      </c>
      <c r="AB3">
        <f>V3/0.23</f>
        <v>869.56521739130426</v>
      </c>
      <c r="AC3">
        <f t="shared" ref="AC3:AC23" si="4">4.6131*V3-87.584</f>
        <v>835.03600000000006</v>
      </c>
      <c r="AD3">
        <f t="shared" ref="AD3:AD23" si="5">3.2309*V3^1.0495</f>
        <v>839.95205462865954</v>
      </c>
      <c r="AE3">
        <f>5.4599*V3-289.37</f>
        <v>802.61</v>
      </c>
      <c r="AF3">
        <f>0.9913*V3^1.2526</f>
        <v>755.91903009510168</v>
      </c>
      <c r="AG3" s="2"/>
    </row>
    <row r="4" spans="1:33" ht="15.75" customHeight="1" x14ac:dyDescent="0.15">
      <c r="A4" s="1" t="s">
        <v>29</v>
      </c>
      <c r="B4" s="1" t="s">
        <v>33</v>
      </c>
      <c r="C4" s="3" t="s">
        <v>49</v>
      </c>
      <c r="D4" s="3">
        <v>0.99</v>
      </c>
      <c r="E4" s="3">
        <v>301</v>
      </c>
      <c r="F4" s="3" t="s">
        <v>48</v>
      </c>
      <c r="G4" s="3" t="s">
        <v>50</v>
      </c>
      <c r="H4" s="3">
        <v>0.99</v>
      </c>
      <c r="I4" s="3" t="s">
        <v>51</v>
      </c>
      <c r="J4">
        <v>250</v>
      </c>
      <c r="K4" s="13">
        <f t="shared" si="0"/>
        <v>1122.3399999999999</v>
      </c>
      <c r="L4" s="13">
        <f>J4*4.7847-180.708</f>
        <v>1015.467</v>
      </c>
      <c r="M4" s="13">
        <f>(1.699*J4)^1.143</f>
        <v>1009.1517135026892</v>
      </c>
      <c r="N4" s="13">
        <f>(1.1655*J4)^1.21065</f>
        <v>962.91767974553238</v>
      </c>
      <c r="O4" s="13">
        <f>(2.21386*J4)^1.097</f>
        <v>1021.3389813846983</v>
      </c>
      <c r="P4" s="13">
        <f>J4/0.24</f>
        <v>1041.6666666666667</v>
      </c>
      <c r="Q4" s="13">
        <f t="shared" si="1"/>
        <v>1012.8650000000001</v>
      </c>
      <c r="R4" s="13">
        <f t="shared" si="2"/>
        <v>1012.0173105176449</v>
      </c>
      <c r="S4" s="13">
        <f>5.589*J4-390.37</f>
        <v>1006.88</v>
      </c>
      <c r="T4" s="13">
        <f>1.4769*(J4^1.1975)</f>
        <v>1098.7129690031593</v>
      </c>
      <c r="V4">
        <v>250</v>
      </c>
      <c r="W4">
        <f t="shared" si="3"/>
        <v>1161.4399999999998</v>
      </c>
      <c r="X4">
        <f>5.2579*V4-180.708</f>
        <v>1133.7670000000001</v>
      </c>
      <c r="Y4">
        <f>(1.7883*V4)^1.143</f>
        <v>1070.0024702303645</v>
      </c>
      <c r="Z4">
        <f>(1.2268*V4)^1.211</f>
        <v>1026.6215649864737</v>
      </c>
      <c r="AA4">
        <f>(2.3304*V4)^1.097</f>
        <v>1080.4667756732056</v>
      </c>
      <c r="AB4">
        <f>V4/0.23</f>
        <v>1086.9565217391305</v>
      </c>
      <c r="AC4">
        <f t="shared" si="4"/>
        <v>1065.691</v>
      </c>
      <c r="AD4">
        <f t="shared" si="5"/>
        <v>1061.6015780394223</v>
      </c>
      <c r="AE4">
        <f>5.4599*V4-289.37</f>
        <v>1075.605</v>
      </c>
      <c r="AF4">
        <f>0.9913*V4^1.2526</f>
        <v>999.68864926852882</v>
      </c>
      <c r="AG4" s="2"/>
    </row>
    <row r="5" spans="1:33" ht="15.75" customHeight="1" x14ac:dyDescent="0.15">
      <c r="A5" s="1" t="s">
        <v>52</v>
      </c>
      <c r="B5" s="3" t="s">
        <v>53</v>
      </c>
      <c r="C5" s="3" t="s">
        <v>49</v>
      </c>
      <c r="D5" s="3" t="s">
        <v>22</v>
      </c>
      <c r="E5" s="3">
        <v>25</v>
      </c>
      <c r="F5" s="3" t="s">
        <v>54</v>
      </c>
      <c r="G5" s="3" t="s">
        <v>199</v>
      </c>
      <c r="H5" s="3" t="s">
        <v>22</v>
      </c>
      <c r="I5" s="3" t="s">
        <v>187</v>
      </c>
      <c r="J5">
        <v>300</v>
      </c>
      <c r="K5" s="13">
        <f t="shared" si="0"/>
        <v>1322.51</v>
      </c>
      <c r="L5" s="13">
        <f>J5*4.7847-180.708</f>
        <v>1254.702</v>
      </c>
      <c r="M5" s="13">
        <f>(1.699*J5)^1.143</f>
        <v>1242.969941162647</v>
      </c>
      <c r="N5" s="13">
        <f>(1.1655*J5)^1.21065</f>
        <v>1200.7426480723445</v>
      </c>
      <c r="O5" s="13">
        <f>(2.21386*J5)^1.097</f>
        <v>1247.4746665646248</v>
      </c>
      <c r="P5" s="13">
        <f>J5/0.24</f>
        <v>1250</v>
      </c>
      <c r="Q5" s="13">
        <f t="shared" si="1"/>
        <v>1232.1200000000001</v>
      </c>
      <c r="R5" s="13">
        <f t="shared" si="2"/>
        <v>1223.8897800869913</v>
      </c>
      <c r="S5" s="13">
        <f>5.589*J5-390.37</f>
        <v>1286.33</v>
      </c>
      <c r="T5" s="13">
        <f>1.4769*(J5^1.1975)</f>
        <v>1366.7962954436839</v>
      </c>
      <c r="V5">
        <v>300</v>
      </c>
      <c r="W5">
        <f t="shared" si="3"/>
        <v>1369.4299999999998</v>
      </c>
      <c r="X5">
        <f>5.2579*V5-180.708</f>
        <v>1396.662</v>
      </c>
      <c r="Y5">
        <f>(1.7883*V5)^1.143</f>
        <v>1317.9196840977086</v>
      </c>
      <c r="Z5">
        <f>(1.2268*V5)^1.211</f>
        <v>1280.2620485680372</v>
      </c>
      <c r="AA5">
        <f>(2.3304*V5)^1.097</f>
        <v>1319.6940049127575</v>
      </c>
      <c r="AB5">
        <f>V5/0.23</f>
        <v>1304.3478260869565</v>
      </c>
      <c r="AC5">
        <f t="shared" si="4"/>
        <v>1296.346</v>
      </c>
      <c r="AD5">
        <f t="shared" si="5"/>
        <v>1285.4709694171215</v>
      </c>
      <c r="AE5">
        <f>5.4599*V5-289.37</f>
        <v>1348.6</v>
      </c>
      <c r="AF5">
        <f>0.9913*V5^1.2526</f>
        <v>1256.1664495956293</v>
      </c>
    </row>
    <row r="6" spans="1:33" ht="15.75" customHeight="1" x14ac:dyDescent="0.15">
      <c r="A6" s="1" t="s">
        <v>55</v>
      </c>
      <c r="B6" s="3" t="s">
        <v>56</v>
      </c>
      <c r="C6" s="3" t="s">
        <v>49</v>
      </c>
      <c r="D6" s="3" t="s">
        <v>22</v>
      </c>
      <c r="E6" s="3">
        <v>41</v>
      </c>
      <c r="F6" s="3" t="s">
        <v>47</v>
      </c>
      <c r="G6" s="3" t="s">
        <v>57</v>
      </c>
      <c r="H6" s="3" t="s">
        <v>22</v>
      </c>
      <c r="I6" s="3" t="s">
        <v>188</v>
      </c>
      <c r="J6">
        <v>350</v>
      </c>
      <c r="K6" s="13">
        <f t="shared" si="0"/>
        <v>1522.68</v>
      </c>
      <c r="L6" s="13">
        <f t="shared" ref="L6:L29" si="6">J6*4.7847-180.708</f>
        <v>1493.9369999999999</v>
      </c>
      <c r="M6" s="13">
        <f t="shared" ref="M6:M29" si="7">(1.699*J6)^1.143</f>
        <v>1482.452568018824</v>
      </c>
      <c r="N6" s="13">
        <f t="shared" ref="N6:N29" si="8">(1.1655*J6)^1.21065</f>
        <v>1447.1017445314303</v>
      </c>
      <c r="O6" s="13">
        <f t="shared" ref="O6:O29" si="9">(2.21386*J6)^1.097</f>
        <v>1477.3124677250607</v>
      </c>
      <c r="P6" s="13">
        <f t="shared" ref="P6:P29" si="10">J6/0.24</f>
        <v>1458.3333333333335</v>
      </c>
      <c r="Q6" s="13">
        <f t="shared" si="1"/>
        <v>1451.375</v>
      </c>
      <c r="R6" s="13">
        <f t="shared" si="2"/>
        <v>1437.2788377814929</v>
      </c>
      <c r="S6" s="13">
        <f t="shared" ref="S6:S29" si="11">5.589*J6-390.37</f>
        <v>1565.7800000000002</v>
      </c>
      <c r="T6" s="13">
        <f t="shared" ref="T6:T29" si="12">1.4769*(J6^1.1975)</f>
        <v>1643.8893186770854</v>
      </c>
      <c r="V6">
        <v>350</v>
      </c>
      <c r="W6">
        <f t="shared" si="3"/>
        <v>1577.4199999999998</v>
      </c>
      <c r="X6">
        <f t="shared" ref="X6:X23" si="13">5.2579*J6-180.708</f>
        <v>1659.557</v>
      </c>
      <c r="Y6">
        <f t="shared" ref="Y6:Y23" si="14">(1.7883*J6)^1.143</f>
        <v>1571.8428543056348</v>
      </c>
      <c r="Z6">
        <f t="shared" ref="Z6:Z23" si="15">(1.2268*J6)^1.211</f>
        <v>1543.0195689310374</v>
      </c>
      <c r="AA6">
        <f t="shared" ref="AA6:AA23" si="16">(2.3304*J6)^1.097</f>
        <v>1562.8376746187287</v>
      </c>
      <c r="AB6">
        <f t="shared" ref="AB6:AB23" si="17">J6/0.23</f>
        <v>1521.7391304347825</v>
      </c>
      <c r="AC6">
        <f t="shared" si="4"/>
        <v>1527.001</v>
      </c>
      <c r="AD6">
        <f t="shared" si="5"/>
        <v>1511.203423833394</v>
      </c>
      <c r="AE6">
        <f t="shared" ref="AE6:AE23" si="18">5.4599*J6-289.37</f>
        <v>1621.5950000000003</v>
      </c>
      <c r="AF6">
        <f t="shared" ref="AF6:AF23" si="19">0.9913*J6^1.2526</f>
        <v>1523.7184930875339</v>
      </c>
    </row>
    <row r="7" spans="1:33" ht="15.75" customHeight="1" x14ac:dyDescent="0.15">
      <c r="A7" s="1" t="s">
        <v>29</v>
      </c>
      <c r="B7" s="3" t="s">
        <v>182</v>
      </c>
      <c r="C7" s="3" t="s">
        <v>49</v>
      </c>
      <c r="D7" s="3" t="s">
        <v>22</v>
      </c>
      <c r="E7" s="3">
        <v>301</v>
      </c>
      <c r="F7" s="3" t="s">
        <v>48</v>
      </c>
      <c r="G7" s="3" t="s">
        <v>105</v>
      </c>
      <c r="H7" s="3" t="s">
        <v>22</v>
      </c>
      <c r="I7" s="3" t="s">
        <v>232</v>
      </c>
      <c r="J7">
        <v>400</v>
      </c>
      <c r="K7" s="13">
        <f t="shared" si="0"/>
        <v>1722.8500000000001</v>
      </c>
      <c r="L7" s="13">
        <f t="shared" si="6"/>
        <v>1733.1719999999998</v>
      </c>
      <c r="M7" s="13">
        <f t="shared" si="7"/>
        <v>1726.8936881026432</v>
      </c>
      <c r="N7" s="13">
        <f t="shared" si="8"/>
        <v>1701.0105910788736</v>
      </c>
      <c r="O7" s="13">
        <f t="shared" si="9"/>
        <v>1710.367867470758</v>
      </c>
      <c r="P7" s="13">
        <f t="shared" si="10"/>
        <v>1666.6666666666667</v>
      </c>
      <c r="Q7" s="13">
        <f t="shared" si="1"/>
        <v>1670.63</v>
      </c>
      <c r="R7" s="13">
        <f t="shared" si="2"/>
        <v>1651.9748645592156</v>
      </c>
      <c r="S7" s="13">
        <f t="shared" si="11"/>
        <v>1845.2300000000005</v>
      </c>
      <c r="T7" s="13">
        <f t="shared" si="12"/>
        <v>1928.9364958695976</v>
      </c>
      <c r="V7">
        <v>400</v>
      </c>
      <c r="W7">
        <f t="shared" si="3"/>
        <v>1785.4099999999999</v>
      </c>
      <c r="X7">
        <f t="shared" si="13"/>
        <v>1922.4520000000002</v>
      </c>
      <c r="Y7">
        <f t="shared" si="14"/>
        <v>1831.023509519244</v>
      </c>
      <c r="Z7">
        <f t="shared" si="15"/>
        <v>1813.8429515277737</v>
      </c>
      <c r="AA7">
        <f t="shared" si="16"/>
        <v>1809.3852175070554</v>
      </c>
      <c r="AB7">
        <f t="shared" si="17"/>
        <v>1739.1304347826085</v>
      </c>
      <c r="AC7">
        <f t="shared" si="4"/>
        <v>1757.6559999999999</v>
      </c>
      <c r="AD7">
        <f t="shared" si="5"/>
        <v>1738.5431621624271</v>
      </c>
      <c r="AE7">
        <f t="shared" si="18"/>
        <v>1894.5900000000001</v>
      </c>
      <c r="AF7">
        <f t="shared" si="19"/>
        <v>1801.1316229488596</v>
      </c>
    </row>
    <row r="8" spans="1:33" ht="15.75" customHeight="1" x14ac:dyDescent="0.15">
      <c r="A8" s="1" t="s">
        <v>173</v>
      </c>
      <c r="B8" s="3" t="s">
        <v>163</v>
      </c>
      <c r="C8" s="3" t="s">
        <v>49</v>
      </c>
      <c r="D8" s="3">
        <v>0.97460000000000002</v>
      </c>
      <c r="E8" s="3">
        <v>45</v>
      </c>
      <c r="F8" s="3" t="s">
        <v>257</v>
      </c>
      <c r="G8" s="4" t="s">
        <v>258</v>
      </c>
      <c r="H8" s="11">
        <v>0.97750000000000004</v>
      </c>
      <c r="I8" s="4" t="s">
        <v>259</v>
      </c>
      <c r="J8">
        <v>450</v>
      </c>
      <c r="K8" s="13">
        <f t="shared" si="0"/>
        <v>1923.02</v>
      </c>
      <c r="L8" s="13">
        <f t="shared" si="6"/>
        <v>1972.4069999999997</v>
      </c>
      <c r="M8" s="13">
        <f t="shared" si="7"/>
        <v>1975.7542976738966</v>
      </c>
      <c r="N8" s="13">
        <f t="shared" si="8"/>
        <v>1961.7100589218003</v>
      </c>
      <c r="O8" s="13">
        <f t="shared" si="9"/>
        <v>1946.2733950443767</v>
      </c>
      <c r="P8" s="13">
        <f t="shared" si="10"/>
        <v>1875</v>
      </c>
      <c r="Q8" s="13">
        <f t="shared" si="1"/>
        <v>1889.8850000000002</v>
      </c>
      <c r="R8" s="13">
        <f t="shared" si="2"/>
        <v>1867.8201445315583</v>
      </c>
      <c r="S8" s="13">
        <f t="shared" si="11"/>
        <v>2124.6800000000003</v>
      </c>
      <c r="T8" s="13">
        <f t="shared" si="12"/>
        <v>2221.1253854656525</v>
      </c>
      <c r="V8">
        <v>450</v>
      </c>
      <c r="W8">
        <f t="shared" si="3"/>
        <v>1993.3999999999999</v>
      </c>
      <c r="X8">
        <f t="shared" si="13"/>
        <v>2185.3470000000002</v>
      </c>
      <c r="Y8">
        <f t="shared" si="14"/>
        <v>2094.8901446558348</v>
      </c>
      <c r="Z8">
        <f t="shared" si="15"/>
        <v>2091.9215141054819</v>
      </c>
      <c r="AA8">
        <f t="shared" si="16"/>
        <v>2058.9478890457322</v>
      </c>
      <c r="AB8">
        <f t="shared" si="17"/>
        <v>1956.5217391304348</v>
      </c>
      <c r="AC8">
        <f t="shared" si="4"/>
        <v>1988.3109999999999</v>
      </c>
      <c r="AD8">
        <f t="shared" si="5"/>
        <v>1967.2975428874117</v>
      </c>
      <c r="AE8">
        <f t="shared" si="18"/>
        <v>2167.585</v>
      </c>
      <c r="AF8">
        <f t="shared" si="19"/>
        <v>2087.4645117628102</v>
      </c>
    </row>
    <row r="9" spans="1:33" ht="15.75" customHeight="1" x14ac:dyDescent="0.15">
      <c r="A9" s="1" t="s">
        <v>174</v>
      </c>
      <c r="B9" s="3" t="s">
        <v>163</v>
      </c>
      <c r="C9" s="3" t="s">
        <v>49</v>
      </c>
      <c r="D9" s="3">
        <v>0.97389999999999999</v>
      </c>
      <c r="E9" s="3">
        <v>45</v>
      </c>
      <c r="F9" s="3" t="s">
        <v>257</v>
      </c>
      <c r="G9" s="3" t="s">
        <v>260</v>
      </c>
      <c r="H9" s="3">
        <v>0.97670000000000001</v>
      </c>
      <c r="I9" s="3" t="s">
        <v>261</v>
      </c>
      <c r="J9">
        <v>500</v>
      </c>
      <c r="K9" s="13">
        <f t="shared" si="0"/>
        <v>2123.19</v>
      </c>
      <c r="L9" s="13">
        <f t="shared" si="6"/>
        <v>2211.6419999999998</v>
      </c>
      <c r="M9" s="13">
        <f t="shared" si="7"/>
        <v>2228.608317324657</v>
      </c>
      <c r="N9" s="13">
        <f t="shared" si="8"/>
        <v>2228.5948620708941</v>
      </c>
      <c r="O9" s="13">
        <f t="shared" si="9"/>
        <v>2184.7402665673726</v>
      </c>
      <c r="P9" s="13">
        <f t="shared" si="10"/>
        <v>2083.3333333333335</v>
      </c>
      <c r="Q9" s="13">
        <f t="shared" si="1"/>
        <v>2109.1400000000003</v>
      </c>
      <c r="R9" s="13">
        <f t="shared" si="2"/>
        <v>2084.6915912108871</v>
      </c>
      <c r="S9" s="13">
        <f t="shared" si="11"/>
        <v>2404.13</v>
      </c>
      <c r="T9" s="13">
        <f t="shared" si="12"/>
        <v>2519.8092780067886</v>
      </c>
      <c r="V9">
        <v>500</v>
      </c>
      <c r="W9">
        <f t="shared" si="3"/>
        <v>2201.3899999999994</v>
      </c>
      <c r="X9">
        <f t="shared" si="13"/>
        <v>2448.2420000000002</v>
      </c>
      <c r="Y9">
        <f t="shared" si="14"/>
        <v>2362.9909881800604</v>
      </c>
      <c r="Z9">
        <f t="shared" si="15"/>
        <v>2376.6088360458625</v>
      </c>
      <c r="AA9">
        <f t="shared" si="16"/>
        <v>2311.2201869560745</v>
      </c>
      <c r="AB9">
        <f t="shared" si="17"/>
        <v>2173.913043478261</v>
      </c>
      <c r="AC9">
        <f t="shared" si="4"/>
        <v>2218.9660000000003</v>
      </c>
      <c r="AD9">
        <f t="shared" si="5"/>
        <v>2197.3160899728168</v>
      </c>
      <c r="AE9">
        <f t="shared" si="18"/>
        <v>2440.5800000000004</v>
      </c>
      <c r="AF9">
        <f t="shared" si="19"/>
        <v>2381.9625748462104</v>
      </c>
    </row>
    <row r="10" spans="1:33" ht="15.75" customHeight="1" x14ac:dyDescent="0.15">
      <c r="A10" s="1" t="s">
        <v>181</v>
      </c>
      <c r="B10" s="3" t="s">
        <v>163</v>
      </c>
      <c r="C10" s="3" t="s">
        <v>49</v>
      </c>
      <c r="D10" s="3">
        <v>0.99809999999999999</v>
      </c>
      <c r="E10" s="3">
        <v>10</v>
      </c>
      <c r="F10" s="3" t="s">
        <v>184</v>
      </c>
      <c r="G10" s="3" t="s">
        <v>183</v>
      </c>
      <c r="H10" s="3">
        <v>0.99170000000000003</v>
      </c>
      <c r="I10" s="3" t="s">
        <v>222</v>
      </c>
      <c r="J10">
        <v>550</v>
      </c>
      <c r="K10" s="13">
        <f t="shared" si="0"/>
        <v>2323.3599999999997</v>
      </c>
      <c r="L10" s="13">
        <f t="shared" si="6"/>
        <v>2450.877</v>
      </c>
      <c r="M10" s="13">
        <f t="shared" si="7"/>
        <v>2485.1098237131282</v>
      </c>
      <c r="N10" s="13">
        <f t="shared" si="8"/>
        <v>2501.1698173158056</v>
      </c>
      <c r="O10" s="13">
        <f t="shared" si="9"/>
        <v>2425.5352400733977</v>
      </c>
      <c r="P10" s="13">
        <f t="shared" si="10"/>
        <v>2291.666666666667</v>
      </c>
      <c r="Q10" s="13">
        <f t="shared" si="1"/>
        <v>2328.3950000000004</v>
      </c>
      <c r="R10" s="13">
        <f t="shared" si="2"/>
        <v>2302.4904003035431</v>
      </c>
      <c r="S10" s="13">
        <f t="shared" si="11"/>
        <v>2683.5800000000004</v>
      </c>
      <c r="T10" s="13">
        <f t="shared" si="12"/>
        <v>2824.4598863434267</v>
      </c>
      <c r="V10">
        <v>550</v>
      </c>
      <c r="W10">
        <f t="shared" si="3"/>
        <v>2409.3799999999997</v>
      </c>
      <c r="X10">
        <f t="shared" si="13"/>
        <v>2711.1370000000002</v>
      </c>
      <c r="Y10">
        <f t="shared" si="14"/>
        <v>2634.9592579468053</v>
      </c>
      <c r="Z10">
        <f t="shared" si="15"/>
        <v>2667.3760610977547</v>
      </c>
      <c r="AA10">
        <f t="shared" si="16"/>
        <v>2565.9553663278029</v>
      </c>
      <c r="AB10">
        <f t="shared" si="17"/>
        <v>2391.304347826087</v>
      </c>
      <c r="AC10">
        <f t="shared" si="4"/>
        <v>2449.6210000000001</v>
      </c>
      <c r="AD10">
        <f t="shared" si="5"/>
        <v>2428.4779187360987</v>
      </c>
      <c r="AE10">
        <f t="shared" si="18"/>
        <v>2713.5750000000003</v>
      </c>
      <c r="AF10">
        <f t="shared" si="19"/>
        <v>2684.0055592989352</v>
      </c>
    </row>
    <row r="11" spans="1:33" ht="15.75" customHeight="1" x14ac:dyDescent="0.15">
      <c r="A11" s="1" t="s">
        <v>254</v>
      </c>
      <c r="B11" s="3" t="s">
        <v>163</v>
      </c>
      <c r="C11" s="3" t="s">
        <v>49</v>
      </c>
      <c r="D11" s="3">
        <v>0.99129999999999996</v>
      </c>
      <c r="E11" s="3">
        <v>10</v>
      </c>
      <c r="F11" s="3" t="s">
        <v>184</v>
      </c>
      <c r="G11" s="3" t="s">
        <v>224</v>
      </c>
      <c r="H11" s="3">
        <v>0.99780000000000002</v>
      </c>
      <c r="I11" s="3" t="s">
        <v>223</v>
      </c>
      <c r="J11">
        <v>600</v>
      </c>
      <c r="K11" s="13">
        <f t="shared" si="0"/>
        <v>2523.5299999999997</v>
      </c>
      <c r="L11" s="13">
        <f t="shared" si="6"/>
        <v>2690.1120000000001</v>
      </c>
      <c r="M11" s="13">
        <f t="shared" si="7"/>
        <v>2744.9719521803449</v>
      </c>
      <c r="N11" s="13">
        <f t="shared" si="8"/>
        <v>2779.0214599347682</v>
      </c>
      <c r="O11" s="13">
        <f t="shared" si="9"/>
        <v>2668.4657936696231</v>
      </c>
      <c r="P11" s="13">
        <f t="shared" si="10"/>
        <v>2500</v>
      </c>
      <c r="Q11" s="13">
        <f t="shared" si="1"/>
        <v>2547.6500000000005</v>
      </c>
      <c r="R11" s="13">
        <f t="shared" si="2"/>
        <v>2521.1354653718718</v>
      </c>
      <c r="S11" s="13">
        <f t="shared" si="11"/>
        <v>2963.03</v>
      </c>
      <c r="T11" s="13">
        <f t="shared" si="12"/>
        <v>3134.6366918095418</v>
      </c>
      <c r="V11">
        <v>600</v>
      </c>
      <c r="W11">
        <f t="shared" si="3"/>
        <v>2617.3699999999994</v>
      </c>
      <c r="X11">
        <f t="shared" si="13"/>
        <v>2974.0320000000002</v>
      </c>
      <c r="Y11">
        <f t="shared" si="14"/>
        <v>2910.4907916684729</v>
      </c>
      <c r="Z11">
        <f t="shared" si="15"/>
        <v>2963.7815928024743</v>
      </c>
      <c r="AA11">
        <f t="shared" si="16"/>
        <v>2822.9497597081117</v>
      </c>
      <c r="AB11">
        <f t="shared" si="17"/>
        <v>2608.695652173913</v>
      </c>
      <c r="AC11">
        <f t="shared" si="4"/>
        <v>2680.2760000000003</v>
      </c>
      <c r="AD11">
        <f t="shared" si="5"/>
        <v>2660.6837279854781</v>
      </c>
      <c r="AE11">
        <f t="shared" si="18"/>
        <v>2986.57</v>
      </c>
      <c r="AF11">
        <f t="shared" si="19"/>
        <v>2993.0733662961711</v>
      </c>
    </row>
    <row r="12" spans="1:33" ht="15.75" customHeight="1" x14ac:dyDescent="0.15">
      <c r="J12">
        <v>650</v>
      </c>
      <c r="K12" s="13">
        <f t="shared" si="0"/>
        <v>2723.7</v>
      </c>
      <c r="L12" s="13">
        <f t="shared" si="6"/>
        <v>2929.3469999999998</v>
      </c>
      <c r="M12" s="13">
        <f t="shared" si="7"/>
        <v>3007.9526722224314</v>
      </c>
      <c r="N12" s="13">
        <f t="shared" si="8"/>
        <v>3061.7987711113938</v>
      </c>
      <c r="O12" s="13">
        <f t="shared" si="9"/>
        <v>2913.3701798538509</v>
      </c>
      <c r="P12" s="13">
        <f t="shared" si="10"/>
        <v>2708.3333333333335</v>
      </c>
      <c r="Q12" s="13">
        <f t="shared" si="1"/>
        <v>2766.9050000000007</v>
      </c>
      <c r="R12" s="13">
        <f t="shared" si="2"/>
        <v>2740.558984567378</v>
      </c>
      <c r="S12" s="13">
        <f t="shared" si="11"/>
        <v>3242.4800000000005</v>
      </c>
      <c r="T12" s="13">
        <f t="shared" si="12"/>
        <v>3449.9661590646297</v>
      </c>
      <c r="V12">
        <v>650</v>
      </c>
      <c r="W12">
        <f t="shared" si="3"/>
        <v>2825.3599999999997</v>
      </c>
      <c r="X12">
        <f t="shared" si="13"/>
        <v>3236.9270000000001</v>
      </c>
      <c r="Y12">
        <f t="shared" si="14"/>
        <v>3189.3289646635976</v>
      </c>
      <c r="Z12">
        <f t="shared" si="15"/>
        <v>3265.4505173132216</v>
      </c>
      <c r="AA12">
        <f t="shared" si="16"/>
        <v>3082.0322556390392</v>
      </c>
      <c r="AB12">
        <f t="shared" si="17"/>
        <v>2826.086956521739</v>
      </c>
      <c r="AC12">
        <f t="shared" si="4"/>
        <v>2910.9310000000005</v>
      </c>
      <c r="AD12">
        <f t="shared" si="5"/>
        <v>2893.8504530988507</v>
      </c>
      <c r="AE12">
        <f t="shared" si="18"/>
        <v>3259.5650000000001</v>
      </c>
      <c r="AF12">
        <f t="shared" si="19"/>
        <v>3308.7227435265004</v>
      </c>
    </row>
    <row r="13" spans="1:33" ht="15.75" customHeight="1" x14ac:dyDescent="0.15">
      <c r="J13">
        <v>700</v>
      </c>
      <c r="K13" s="13">
        <f t="shared" si="0"/>
        <v>2923.87</v>
      </c>
      <c r="L13" s="13">
        <f t="shared" si="6"/>
        <v>3168.5819999999999</v>
      </c>
      <c r="M13" s="13">
        <f t="shared" si="7"/>
        <v>3273.8448331607046</v>
      </c>
      <c r="N13" s="13">
        <f t="shared" si="8"/>
        <v>3349.1996051093788</v>
      </c>
      <c r="O13" s="13">
        <f t="shared" si="9"/>
        <v>3160.1104955038072</v>
      </c>
      <c r="P13" s="13">
        <f t="shared" si="10"/>
        <v>2916.666666666667</v>
      </c>
      <c r="Q13" s="13">
        <f t="shared" si="1"/>
        <v>2986.1600000000003</v>
      </c>
      <c r="R13" s="13">
        <f t="shared" si="2"/>
        <v>2960.7034150590216</v>
      </c>
      <c r="S13" s="13">
        <f t="shared" si="11"/>
        <v>3521.9300000000003</v>
      </c>
      <c r="T13" s="13">
        <f t="shared" si="12"/>
        <v>3770.127116071993</v>
      </c>
      <c r="V13">
        <v>700</v>
      </c>
      <c r="W13">
        <f t="shared" si="3"/>
        <v>3033.3499999999995</v>
      </c>
      <c r="X13">
        <f t="shared" si="13"/>
        <v>3499.8220000000001</v>
      </c>
      <c r="Y13">
        <f t="shared" si="14"/>
        <v>3471.2541352916551</v>
      </c>
      <c r="Z13">
        <f t="shared" si="15"/>
        <v>3572.0601113239827</v>
      </c>
      <c r="AA13">
        <f t="shared" si="16"/>
        <v>3343.0569674516214</v>
      </c>
      <c r="AB13">
        <f t="shared" si="17"/>
        <v>3043.478260869565</v>
      </c>
      <c r="AC13">
        <f t="shared" si="4"/>
        <v>3141.5860000000002</v>
      </c>
      <c r="AD13">
        <f t="shared" si="5"/>
        <v>3127.9075569420647</v>
      </c>
      <c r="AE13">
        <f t="shared" si="18"/>
        <v>3532.5600000000004</v>
      </c>
      <c r="AF13">
        <f t="shared" si="19"/>
        <v>3630.5708060116826</v>
      </c>
    </row>
    <row r="14" spans="1:33" ht="15.75" customHeight="1" x14ac:dyDescent="0.15">
      <c r="J14">
        <v>750</v>
      </c>
      <c r="K14" s="13">
        <f t="shared" si="0"/>
        <v>3124.04</v>
      </c>
      <c r="L14" s="13">
        <f t="shared" si="6"/>
        <v>3407.817</v>
      </c>
      <c r="M14" s="13">
        <f t="shared" si="7"/>
        <v>3542.468980921084</v>
      </c>
      <c r="N14" s="13">
        <f t="shared" si="8"/>
        <v>3640.9608380317209</v>
      </c>
      <c r="O14" s="13">
        <f t="shared" si="9"/>
        <v>3408.5677007068543</v>
      </c>
      <c r="P14" s="13">
        <f t="shared" si="10"/>
        <v>3125</v>
      </c>
      <c r="Q14" s="13">
        <f t="shared" si="1"/>
        <v>3205.4150000000004</v>
      </c>
      <c r="R14" s="13">
        <f t="shared" si="2"/>
        <v>3181.5192941005539</v>
      </c>
      <c r="S14" s="13">
        <f t="shared" si="11"/>
        <v>3801.38</v>
      </c>
      <c r="T14" s="13">
        <f t="shared" si="12"/>
        <v>4094.8401547254289</v>
      </c>
      <c r="V14">
        <v>750</v>
      </c>
      <c r="W14">
        <f t="shared" si="3"/>
        <v>3241.3399999999997</v>
      </c>
      <c r="X14">
        <f t="shared" si="13"/>
        <v>3762.7170000000001</v>
      </c>
      <c r="Y14">
        <f t="shared" si="14"/>
        <v>3756.0760285920155</v>
      </c>
      <c r="Z14">
        <f t="shared" si="15"/>
        <v>3883.3293233196364</v>
      </c>
      <c r="AA14">
        <f t="shared" si="16"/>
        <v>3605.897963723552</v>
      </c>
      <c r="AB14">
        <f t="shared" si="17"/>
        <v>3260.869565217391</v>
      </c>
      <c r="AC14">
        <f t="shared" si="4"/>
        <v>3372.2410000000004</v>
      </c>
      <c r="AD14">
        <f t="shared" si="5"/>
        <v>3362.7943746645637</v>
      </c>
      <c r="AE14">
        <f t="shared" si="18"/>
        <v>3805.5550000000003</v>
      </c>
      <c r="AF14">
        <f t="shared" si="19"/>
        <v>3958.2830324271476</v>
      </c>
    </row>
    <row r="15" spans="1:33" ht="15.75" customHeight="1" x14ac:dyDescent="0.15">
      <c r="B15" s="3"/>
      <c r="C15" s="3"/>
      <c r="D15" s="3"/>
      <c r="E15" s="3"/>
      <c r="F15" s="3"/>
      <c r="G15" s="3"/>
      <c r="H15" s="3"/>
      <c r="I15" s="3"/>
      <c r="J15">
        <v>800</v>
      </c>
      <c r="K15" s="13">
        <f t="shared" si="0"/>
        <v>3324.21</v>
      </c>
      <c r="L15" s="13">
        <f t="shared" si="6"/>
        <v>3647.0519999999997</v>
      </c>
      <c r="M15" s="13">
        <f t="shared" si="7"/>
        <v>3813.6680391523146</v>
      </c>
      <c r="N15" s="13">
        <f t="shared" si="8"/>
        <v>3936.8510344605547</v>
      </c>
      <c r="O15" s="13">
        <f t="shared" si="9"/>
        <v>3658.6379437316918</v>
      </c>
      <c r="P15" s="13">
        <f t="shared" si="10"/>
        <v>3333.3333333333335</v>
      </c>
      <c r="Q15" s="13">
        <f t="shared" si="1"/>
        <v>3424.6700000000005</v>
      </c>
      <c r="R15" s="13">
        <f t="shared" si="2"/>
        <v>3402.9636383164375</v>
      </c>
      <c r="S15" s="13">
        <f t="shared" si="11"/>
        <v>4080.8300000000008</v>
      </c>
      <c r="T15" s="13">
        <f t="shared" si="12"/>
        <v>4423.8597487276411</v>
      </c>
      <c r="V15">
        <v>800</v>
      </c>
      <c r="W15">
        <f t="shared" si="3"/>
        <v>3449.3299999999995</v>
      </c>
      <c r="X15">
        <f t="shared" si="13"/>
        <v>4025.6120000000005</v>
      </c>
      <c r="Y15">
        <f t="shared" si="14"/>
        <v>4043.6280966793402</v>
      </c>
      <c r="Z15">
        <f t="shared" si="15"/>
        <v>4199.0109430997773</v>
      </c>
      <c r="AA15">
        <f t="shared" si="16"/>
        <v>3870.4453804945665</v>
      </c>
      <c r="AB15">
        <f t="shared" si="17"/>
        <v>3478.260869565217</v>
      </c>
      <c r="AC15">
        <f t="shared" si="4"/>
        <v>3602.8960000000002</v>
      </c>
      <c r="AD15">
        <f t="shared" si="5"/>
        <v>3598.4581620411468</v>
      </c>
      <c r="AE15">
        <f t="shared" si="18"/>
        <v>4078.55</v>
      </c>
      <c r="AF15">
        <f t="shared" si="19"/>
        <v>4291.56429992014</v>
      </c>
    </row>
    <row r="16" spans="1:33" ht="15.75" customHeight="1" x14ac:dyDescent="0.15">
      <c r="B16" s="3"/>
      <c r="C16" s="3"/>
      <c r="D16" s="3"/>
      <c r="E16" s="3"/>
      <c r="F16" s="3"/>
      <c r="G16" s="3"/>
      <c r="H16" s="3"/>
      <c r="I16" s="3"/>
      <c r="J16">
        <v>850</v>
      </c>
      <c r="K16" s="13">
        <f t="shared" si="0"/>
        <v>3524.3799999999997</v>
      </c>
      <c r="L16" s="13">
        <f t="shared" si="6"/>
        <v>3886.2869999999998</v>
      </c>
      <c r="M16" s="13">
        <f t="shared" si="7"/>
        <v>4087.303283371331</v>
      </c>
      <c r="N16" s="13">
        <f t="shared" si="8"/>
        <v>4236.664869438604</v>
      </c>
      <c r="O16" s="13">
        <f t="shared" si="9"/>
        <v>3910.2297887074292</v>
      </c>
      <c r="P16" s="13">
        <f t="shared" si="10"/>
        <v>3541.666666666667</v>
      </c>
      <c r="Q16" s="13">
        <f t="shared" si="1"/>
        <v>3643.9250000000006</v>
      </c>
      <c r="R16" s="13">
        <f t="shared" si="2"/>
        <v>3624.9987409512651</v>
      </c>
      <c r="S16" s="13">
        <f t="shared" si="11"/>
        <v>4360.2800000000007</v>
      </c>
      <c r="T16" s="13">
        <f t="shared" si="12"/>
        <v>4756.9682639010489</v>
      </c>
      <c r="V16">
        <v>850</v>
      </c>
      <c r="W16">
        <f t="shared" si="3"/>
        <v>3657.3199999999997</v>
      </c>
      <c r="X16">
        <f t="shared" si="13"/>
        <v>4288.5070000000005</v>
      </c>
      <c r="Y16">
        <f t="shared" si="14"/>
        <v>4333.7632501342987</v>
      </c>
      <c r="Z16">
        <f t="shared" si="15"/>
        <v>4518.8856454842244</v>
      </c>
      <c r="AA16">
        <f t="shared" si="16"/>
        <v>4136.6024884491271</v>
      </c>
      <c r="AB16">
        <f t="shared" si="17"/>
        <v>3695.6521739130435</v>
      </c>
      <c r="AC16">
        <f t="shared" si="4"/>
        <v>3833.5510000000004</v>
      </c>
      <c r="AD16">
        <f t="shared" si="5"/>
        <v>3834.8526282903022</v>
      </c>
      <c r="AE16">
        <f t="shared" si="18"/>
        <v>4351.5450000000001</v>
      </c>
      <c r="AF16">
        <f t="shared" si="19"/>
        <v>4630.1520440131599</v>
      </c>
    </row>
    <row r="17" spans="2:32" ht="15.75" customHeight="1" x14ac:dyDescent="0.15">
      <c r="B17" s="3"/>
      <c r="C17" s="3"/>
      <c r="D17" s="3"/>
      <c r="E17" s="3"/>
      <c r="F17" s="3"/>
      <c r="G17" s="3"/>
      <c r="H17" s="3"/>
      <c r="I17" s="3"/>
      <c r="J17">
        <v>900</v>
      </c>
      <c r="K17" s="13">
        <f t="shared" si="0"/>
        <v>3724.5499999999997</v>
      </c>
      <c r="L17" s="13">
        <f t="shared" si="6"/>
        <v>4125.5219999999999</v>
      </c>
      <c r="M17" s="13">
        <f t="shared" si="7"/>
        <v>4363.2512355380832</v>
      </c>
      <c r="N17" s="13">
        <f t="shared" si="8"/>
        <v>4540.2188059744112</v>
      </c>
      <c r="O17" s="13">
        <f t="shared" si="9"/>
        <v>4163.2620837964841</v>
      </c>
      <c r="P17" s="13">
        <f t="shared" si="10"/>
        <v>3750</v>
      </c>
      <c r="Q17" s="13">
        <f t="shared" si="1"/>
        <v>3863.1800000000007</v>
      </c>
      <c r="R17" s="13">
        <f t="shared" si="2"/>
        <v>3847.5912503982381</v>
      </c>
      <c r="S17" s="13">
        <f t="shared" si="11"/>
        <v>4639.7300000000005</v>
      </c>
      <c r="T17" s="13">
        <f t="shared" si="12"/>
        <v>5093.9713208178791</v>
      </c>
      <c r="V17">
        <v>900</v>
      </c>
      <c r="W17">
        <f t="shared" si="3"/>
        <v>3865.3099999999995</v>
      </c>
      <c r="X17">
        <f t="shared" si="13"/>
        <v>4551.402000000001</v>
      </c>
      <c r="Y17">
        <f t="shared" si="14"/>
        <v>4626.350565324592</v>
      </c>
      <c r="Z17">
        <f t="shared" si="15"/>
        <v>4842.757374576523</v>
      </c>
      <c r="AA17">
        <f t="shared" si="16"/>
        <v>4404.2834376726696</v>
      </c>
      <c r="AB17">
        <f t="shared" si="17"/>
        <v>3913.0434782608695</v>
      </c>
      <c r="AC17">
        <f t="shared" si="4"/>
        <v>4064.2060000000001</v>
      </c>
      <c r="AD17">
        <f t="shared" si="5"/>
        <v>4071.9368114861413</v>
      </c>
      <c r="AE17">
        <f t="shared" si="18"/>
        <v>4624.54</v>
      </c>
      <c r="AF17">
        <f t="shared" si="19"/>
        <v>4973.8109430139384</v>
      </c>
    </row>
    <row r="18" spans="2:32" ht="15.75" customHeight="1" x14ac:dyDescent="0.15">
      <c r="B18" s="3"/>
      <c r="C18" s="3"/>
      <c r="D18" s="3"/>
      <c r="E18" s="3"/>
      <c r="F18" s="3"/>
      <c r="G18" s="3"/>
      <c r="H18" s="3"/>
      <c r="I18" s="3"/>
      <c r="J18">
        <v>950</v>
      </c>
      <c r="K18" s="13">
        <f t="shared" si="0"/>
        <v>3924.72</v>
      </c>
      <c r="L18" s="13">
        <f t="shared" si="6"/>
        <v>4364.7570000000005</v>
      </c>
      <c r="M18" s="13">
        <f t="shared" si="7"/>
        <v>4641.4012287522828</v>
      </c>
      <c r="N18" s="13">
        <f t="shared" si="8"/>
        <v>4847.3476907272307</v>
      </c>
      <c r="O18" s="13">
        <f t="shared" si="9"/>
        <v>4417.6622942668637</v>
      </c>
      <c r="P18" s="13">
        <f t="shared" si="10"/>
        <v>3958.3333333333335</v>
      </c>
      <c r="Q18" s="13">
        <f t="shared" si="1"/>
        <v>4082.4350000000004</v>
      </c>
      <c r="R18" s="13">
        <f t="shared" si="2"/>
        <v>4070.711452160499</v>
      </c>
      <c r="S18" s="13">
        <f t="shared" si="11"/>
        <v>4919.18</v>
      </c>
      <c r="T18" s="13">
        <f t="shared" si="12"/>
        <v>5434.6941455398528</v>
      </c>
      <c r="V18">
        <v>950</v>
      </c>
      <c r="W18">
        <f t="shared" si="3"/>
        <v>4073.2999999999997</v>
      </c>
      <c r="X18">
        <f t="shared" si="13"/>
        <v>4814.2970000000005</v>
      </c>
      <c r="Y18">
        <f t="shared" si="14"/>
        <v>4921.2727022555528</v>
      </c>
      <c r="Z18">
        <f t="shared" si="15"/>
        <v>5170.4497084167069</v>
      </c>
      <c r="AA18">
        <f t="shared" si="16"/>
        <v>4673.4114942213937</v>
      </c>
      <c r="AB18">
        <f t="shared" si="17"/>
        <v>4130.4347826086951</v>
      </c>
      <c r="AC18">
        <f t="shared" si="4"/>
        <v>4294.8610000000008</v>
      </c>
      <c r="AD18">
        <f t="shared" si="5"/>
        <v>4309.6742018614304</v>
      </c>
      <c r="AE18">
        <f t="shared" si="18"/>
        <v>4897.5349999999999</v>
      </c>
      <c r="AF18">
        <f t="shared" si="19"/>
        <v>5322.3287204067701</v>
      </c>
    </row>
    <row r="19" spans="2:32" ht="15.75" customHeight="1" x14ac:dyDescent="0.15">
      <c r="B19" s="3"/>
      <c r="C19" s="3"/>
      <c r="D19" s="3"/>
      <c r="E19" s="3"/>
      <c r="F19" s="3"/>
      <c r="G19" s="3"/>
      <c r="H19" s="3"/>
      <c r="I19" s="3"/>
      <c r="J19">
        <v>1000</v>
      </c>
      <c r="K19" s="13">
        <f t="shared" si="0"/>
        <v>4124.8900000000003</v>
      </c>
      <c r="L19" s="13">
        <f t="shared" si="6"/>
        <v>4603.9920000000002</v>
      </c>
      <c r="M19" s="13">
        <f t="shared" si="7"/>
        <v>4921.6534695359342</v>
      </c>
      <c r="N19" s="13">
        <f t="shared" si="8"/>
        <v>5157.9020343268621</v>
      </c>
      <c r="O19" s="13">
        <f t="shared" si="9"/>
        <v>4673.3651797855346</v>
      </c>
      <c r="P19" s="13">
        <f t="shared" si="10"/>
        <v>4166.666666666667</v>
      </c>
      <c r="Q19" s="13">
        <f t="shared" si="1"/>
        <v>4301.6900000000005</v>
      </c>
      <c r="R19" s="13">
        <f t="shared" si="2"/>
        <v>4294.3327009322056</v>
      </c>
      <c r="S19" s="13">
        <f t="shared" si="11"/>
        <v>5198.63</v>
      </c>
      <c r="T19" s="13">
        <f t="shared" si="12"/>
        <v>5778.9786565364884</v>
      </c>
      <c r="V19">
        <v>1000</v>
      </c>
      <c r="W19">
        <f t="shared" si="3"/>
        <v>4281.2899999999991</v>
      </c>
      <c r="X19">
        <f t="shared" si="13"/>
        <v>5077.1920000000009</v>
      </c>
      <c r="Y19">
        <f t="shared" si="14"/>
        <v>5218.4238500103975</v>
      </c>
      <c r="Z19">
        <f t="shared" si="15"/>
        <v>5501.8029546707348</v>
      </c>
      <c r="AA19">
        <f t="shared" si="16"/>
        <v>4943.9176408409166</v>
      </c>
      <c r="AB19">
        <f t="shared" si="17"/>
        <v>4347.826086956522</v>
      </c>
      <c r="AC19">
        <f t="shared" si="4"/>
        <v>4525.5160000000005</v>
      </c>
      <c r="AD19">
        <f t="shared" si="5"/>
        <v>4548.0320481156423</v>
      </c>
      <c r="AE19">
        <f t="shared" si="18"/>
        <v>5170.5300000000007</v>
      </c>
      <c r="AF19">
        <f t="shared" si="19"/>
        <v>5675.5127830244628</v>
      </c>
    </row>
    <row r="20" spans="2:32" ht="15.75" customHeight="1" x14ac:dyDescent="0.15">
      <c r="B20" s="3"/>
      <c r="C20" s="3"/>
      <c r="D20" s="3"/>
      <c r="E20" s="3"/>
      <c r="F20" s="3"/>
      <c r="G20" s="3"/>
      <c r="H20" s="3"/>
      <c r="I20" s="3"/>
      <c r="J20">
        <v>1050</v>
      </c>
      <c r="K20" s="13">
        <f t="shared" si="0"/>
        <v>4325.0599999999995</v>
      </c>
      <c r="L20" s="13">
        <f t="shared" si="6"/>
        <v>4843.2270000000008</v>
      </c>
      <c r="M20" s="13">
        <f t="shared" si="7"/>
        <v>5203.9174760609358</v>
      </c>
      <c r="N20" s="13">
        <f t="shared" si="8"/>
        <v>5471.7458110009093</v>
      </c>
      <c r="O20" s="13">
        <f t="shared" si="9"/>
        <v>4930.3117310887219</v>
      </c>
      <c r="P20" s="13">
        <f t="shared" si="10"/>
        <v>4375</v>
      </c>
      <c r="Q20" s="13">
        <f t="shared" si="1"/>
        <v>4520.9450000000006</v>
      </c>
      <c r="R20" s="13">
        <f t="shared" si="2"/>
        <v>4518.4309654400049</v>
      </c>
      <c r="S20" s="13">
        <f t="shared" si="11"/>
        <v>5478.0800000000008</v>
      </c>
      <c r="T20" s="13">
        <f t="shared" si="12"/>
        <v>6126.6811095808644</v>
      </c>
      <c r="V20">
        <v>1050</v>
      </c>
      <c r="W20">
        <f t="shared" si="3"/>
        <v>4489.28</v>
      </c>
      <c r="X20">
        <f t="shared" si="13"/>
        <v>5340.0870000000004</v>
      </c>
      <c r="Y20">
        <f t="shared" si="14"/>
        <v>5517.7080708046942</v>
      </c>
      <c r="Z20">
        <f t="shared" si="15"/>
        <v>5836.6718008352782</v>
      </c>
      <c r="AA20">
        <f t="shared" si="16"/>
        <v>5215.7394520778907</v>
      </c>
      <c r="AB20">
        <f t="shared" si="17"/>
        <v>4565.217391304348</v>
      </c>
      <c r="AC20">
        <f t="shared" si="4"/>
        <v>4756.1710000000003</v>
      </c>
      <c r="AD20">
        <f t="shared" si="5"/>
        <v>4786.9808012399671</v>
      </c>
      <c r="AE20">
        <f t="shared" si="18"/>
        <v>5443.5250000000005</v>
      </c>
      <c r="AF20">
        <f t="shared" si="19"/>
        <v>6033.1874947234382</v>
      </c>
    </row>
    <row r="21" spans="2:32" ht="15.75" customHeight="1" x14ac:dyDescent="0.15">
      <c r="B21" s="3"/>
      <c r="C21" s="3"/>
      <c r="D21" s="3"/>
      <c r="E21" s="3"/>
      <c r="F21" s="3"/>
      <c r="G21" s="3"/>
      <c r="H21" s="3"/>
      <c r="I21" s="3"/>
      <c r="J21">
        <v>1100</v>
      </c>
      <c r="K21" s="13">
        <f t="shared" si="0"/>
        <v>4525.2299999999996</v>
      </c>
      <c r="L21" s="13">
        <f t="shared" si="6"/>
        <v>5082.4620000000004</v>
      </c>
      <c r="M21" s="13">
        <f t="shared" si="7"/>
        <v>5488.1108048354281</v>
      </c>
      <c r="N21" s="13">
        <f t="shared" si="8"/>
        <v>5788.7546581446577</v>
      </c>
      <c r="O21" s="13">
        <f t="shared" si="9"/>
        <v>5188.4483051670768</v>
      </c>
      <c r="P21" s="13">
        <f t="shared" si="10"/>
        <v>4583.3333333333339</v>
      </c>
      <c r="Q21" s="13">
        <f t="shared" si="1"/>
        <v>4740.2000000000007</v>
      </c>
      <c r="R21" s="13">
        <f t="shared" si="2"/>
        <v>4742.9844593284752</v>
      </c>
      <c r="S21" s="13">
        <f t="shared" si="11"/>
        <v>5757.5300000000007</v>
      </c>
      <c r="T21" s="13">
        <f t="shared" si="12"/>
        <v>6477.6701720590108</v>
      </c>
      <c r="V21">
        <v>1100</v>
      </c>
      <c r="W21">
        <f t="shared" si="3"/>
        <v>4697.2699999999995</v>
      </c>
      <c r="X21">
        <f t="shared" si="13"/>
        <v>5602.9820000000009</v>
      </c>
      <c r="Y21">
        <f t="shared" si="14"/>
        <v>5819.0379498931634</v>
      </c>
      <c r="Z21">
        <f t="shared" si="15"/>
        <v>6174.9233915086006</v>
      </c>
      <c r="AA21">
        <f t="shared" si="16"/>
        <v>5488.8201793988374</v>
      </c>
      <c r="AB21">
        <f t="shared" si="17"/>
        <v>4782.608695652174</v>
      </c>
      <c r="AC21">
        <f t="shared" si="4"/>
        <v>4986.826</v>
      </c>
      <c r="AD21">
        <f t="shared" si="5"/>
        <v>5026.4936633170428</v>
      </c>
      <c r="AE21">
        <f t="shared" si="18"/>
        <v>5716.52</v>
      </c>
      <c r="AF21">
        <f t="shared" si="19"/>
        <v>6395.1919406178458</v>
      </c>
    </row>
    <row r="22" spans="2:32" ht="15.75" customHeight="1" x14ac:dyDescent="0.15">
      <c r="B22" s="3"/>
      <c r="C22" s="3"/>
      <c r="D22" s="3"/>
      <c r="E22" s="3"/>
      <c r="F22" s="3"/>
      <c r="G22" s="3"/>
      <c r="H22" s="3"/>
      <c r="I22" s="3"/>
      <c r="J22">
        <v>1150</v>
      </c>
      <c r="K22" s="13">
        <f t="shared" si="0"/>
        <v>4725.3999999999996</v>
      </c>
      <c r="L22" s="13">
        <f t="shared" si="6"/>
        <v>5321.6970000000001</v>
      </c>
      <c r="M22" s="13">
        <f t="shared" si="7"/>
        <v>5774.1580017992956</v>
      </c>
      <c r="N22" s="13">
        <f t="shared" si="8"/>
        <v>6108.8143881273372</v>
      </c>
      <c r="O22" s="13">
        <f t="shared" si="9"/>
        <v>5447.7259145182625</v>
      </c>
      <c r="P22" s="13">
        <f t="shared" si="10"/>
        <v>4791.666666666667</v>
      </c>
      <c r="Q22" s="13">
        <f t="shared" si="1"/>
        <v>4959.4550000000008</v>
      </c>
      <c r="R22" s="13">
        <f t="shared" si="2"/>
        <v>4967.9733386354765</v>
      </c>
      <c r="S22" s="13">
        <f t="shared" si="11"/>
        <v>6036.9800000000005</v>
      </c>
      <c r="T22" s="13">
        <f t="shared" si="12"/>
        <v>6831.8253322948194</v>
      </c>
      <c r="V22">
        <v>1150</v>
      </c>
      <c r="W22">
        <f t="shared" si="3"/>
        <v>4905.2599999999993</v>
      </c>
      <c r="X22">
        <f t="shared" si="13"/>
        <v>5865.8770000000004</v>
      </c>
      <c r="Y22">
        <f t="shared" si="14"/>
        <v>6122.333483417513</v>
      </c>
      <c r="Z22">
        <f t="shared" si="15"/>
        <v>6516.4357390791629</v>
      </c>
      <c r="AA22">
        <f t="shared" si="16"/>
        <v>5763.1079992959358</v>
      </c>
      <c r="AB22">
        <f t="shared" si="17"/>
        <v>5000</v>
      </c>
      <c r="AC22">
        <f t="shared" si="4"/>
        <v>5217.4810000000007</v>
      </c>
      <c r="AD22">
        <f t="shared" si="5"/>
        <v>5266.5462175903976</v>
      </c>
      <c r="AE22">
        <f t="shared" si="18"/>
        <v>5989.5150000000003</v>
      </c>
      <c r="AF22">
        <f t="shared" si="19"/>
        <v>6761.3780751311569</v>
      </c>
    </row>
    <row r="23" spans="2:32" ht="15.75" customHeight="1" x14ac:dyDescent="0.15">
      <c r="B23" s="3"/>
      <c r="C23" s="3"/>
      <c r="D23" s="3"/>
      <c r="E23" s="3"/>
      <c r="F23" s="3"/>
      <c r="G23" s="3"/>
      <c r="H23" s="3"/>
      <c r="I23" s="3"/>
      <c r="J23">
        <v>1200</v>
      </c>
      <c r="K23" s="13">
        <f t="shared" si="0"/>
        <v>4925.57</v>
      </c>
      <c r="L23" s="13">
        <f t="shared" si="6"/>
        <v>5560.9320000000007</v>
      </c>
      <c r="M23" s="13">
        <f t="shared" si="7"/>
        <v>6061.9897301851188</v>
      </c>
      <c r="N23" s="13">
        <f t="shared" si="8"/>
        <v>6431.8197468677272</v>
      </c>
      <c r="O23" s="13">
        <f t="shared" si="9"/>
        <v>5708.0996374814731</v>
      </c>
      <c r="P23" s="13">
        <f t="shared" si="10"/>
        <v>5000</v>
      </c>
      <c r="Q23" s="13">
        <f t="shared" si="1"/>
        <v>5178.7100000000009</v>
      </c>
      <c r="R23" s="13">
        <f t="shared" si="2"/>
        <v>5193.3794514601404</v>
      </c>
      <c r="S23" s="13">
        <f t="shared" si="11"/>
        <v>6316.43</v>
      </c>
      <c r="T23" s="13">
        <f t="shared" si="12"/>
        <v>7189.0355734751365</v>
      </c>
      <c r="V23">
        <v>1200</v>
      </c>
      <c r="W23">
        <f t="shared" si="3"/>
        <v>5113.2499999999991</v>
      </c>
      <c r="X23">
        <f t="shared" si="13"/>
        <v>6128.7720000000008</v>
      </c>
      <c r="Y23">
        <f t="shared" si="14"/>
        <v>6427.5211536782517</v>
      </c>
      <c r="Z23">
        <f t="shared" si="15"/>
        <v>6861.0963979285325</v>
      </c>
      <c r="AA23">
        <f t="shared" si="16"/>
        <v>6038.5553894843306</v>
      </c>
      <c r="AB23">
        <f t="shared" si="17"/>
        <v>5217.391304347826</v>
      </c>
      <c r="AC23">
        <f t="shared" si="4"/>
        <v>5448.1360000000004</v>
      </c>
      <c r="AD23">
        <f t="shared" si="5"/>
        <v>5507.1161222541532</v>
      </c>
      <c r="AE23">
        <f t="shared" si="18"/>
        <v>6262.51</v>
      </c>
      <c r="AF23">
        <f t="shared" si="19"/>
        <v>7131.6091740193469</v>
      </c>
    </row>
    <row r="24" spans="2:32" ht="15.75" customHeight="1" x14ac:dyDescent="0.15">
      <c r="B24" s="3"/>
      <c r="C24" s="3"/>
      <c r="D24" s="3"/>
      <c r="E24" s="3"/>
      <c r="F24" s="3"/>
      <c r="G24" s="3"/>
      <c r="H24" s="3"/>
      <c r="I24" s="3"/>
      <c r="J24">
        <v>1250</v>
      </c>
      <c r="K24" s="13">
        <f t="shared" si="0"/>
        <v>5125.74</v>
      </c>
      <c r="L24" s="13">
        <f t="shared" si="6"/>
        <v>5800.1670000000004</v>
      </c>
      <c r="M24" s="13">
        <f t="shared" si="7"/>
        <v>6351.5420391910156</v>
      </c>
      <c r="N24" s="13">
        <f t="shared" si="8"/>
        <v>6757.6733696144602</v>
      </c>
      <c r="O24" s="13">
        <f t="shared" si="9"/>
        <v>5969.5281248177844</v>
      </c>
      <c r="P24" s="13">
        <f t="shared" si="10"/>
        <v>5208.3333333333339</v>
      </c>
      <c r="Q24" s="13">
        <f t="shared" si="1"/>
        <v>5397.9650000000011</v>
      </c>
      <c r="R24" s="13">
        <f t="shared" si="2"/>
        <v>5419.1861290117204</v>
      </c>
      <c r="S24" s="13">
        <f t="shared" si="11"/>
        <v>6595.880000000001</v>
      </c>
      <c r="T24" s="13">
        <f t="shared" si="12"/>
        <v>7549.1982588981427</v>
      </c>
    </row>
    <row r="25" spans="2:32" ht="15.75" customHeight="1" x14ac:dyDescent="0.15">
      <c r="B25" s="3"/>
      <c r="C25" s="3"/>
      <c r="D25" s="3"/>
      <c r="E25" s="3"/>
      <c r="F25" s="3"/>
      <c r="G25" s="3"/>
      <c r="H25" s="3"/>
      <c r="I25" s="3"/>
      <c r="J25">
        <v>1300</v>
      </c>
      <c r="K25" s="13">
        <f t="shared" si="0"/>
        <v>5325.91</v>
      </c>
      <c r="L25" s="13">
        <f t="shared" si="6"/>
        <v>6039.402</v>
      </c>
      <c r="M25" s="13">
        <f t="shared" si="7"/>
        <v>6642.7557459782956</v>
      </c>
      <c r="N25" s="13">
        <f t="shared" si="8"/>
        <v>7086.2848959186831</v>
      </c>
      <c r="O25" s="13">
        <f t="shared" si="9"/>
        <v>6231.9731835887915</v>
      </c>
      <c r="P25" s="13">
        <f t="shared" si="10"/>
        <v>5416.666666666667</v>
      </c>
      <c r="Q25" s="13">
        <f t="shared" si="1"/>
        <v>5617.2200000000012</v>
      </c>
      <c r="R25" s="13">
        <f t="shared" si="2"/>
        <v>5645.3780098116695</v>
      </c>
      <c r="S25" s="13">
        <f t="shared" si="11"/>
        <v>6875.3300000000008</v>
      </c>
      <c r="T25" s="13">
        <f t="shared" si="12"/>
        <v>7912.2181877107714</v>
      </c>
    </row>
    <row r="26" spans="2:32" ht="15.75" customHeight="1" x14ac:dyDescent="0.15">
      <c r="B26" s="3"/>
      <c r="C26" s="3"/>
      <c r="D26" s="3"/>
      <c r="E26" s="3"/>
      <c r="F26" s="3"/>
      <c r="G26" s="3"/>
      <c r="H26" s="3"/>
      <c r="I26" s="3"/>
      <c r="J26">
        <v>1350</v>
      </c>
      <c r="K26" s="13">
        <f t="shared" si="0"/>
        <v>5526.08</v>
      </c>
      <c r="L26" s="13">
        <f t="shared" si="6"/>
        <v>6278.6370000000006</v>
      </c>
      <c r="M26" s="13">
        <f t="shared" si="7"/>
        <v>6935.5759097293048</v>
      </c>
      <c r="N26" s="13">
        <f t="shared" si="8"/>
        <v>7417.5702143039953</v>
      </c>
      <c r="O26" s="13">
        <f t="shared" si="9"/>
        <v>6495.3994237047255</v>
      </c>
      <c r="P26" s="13">
        <f t="shared" si="10"/>
        <v>5625</v>
      </c>
      <c r="Q26" s="13">
        <f t="shared" si="1"/>
        <v>5836.4750000000004</v>
      </c>
      <c r="R26" s="13">
        <f t="shared" si="2"/>
        <v>5871.9408907119023</v>
      </c>
      <c r="S26" s="13">
        <f t="shared" si="11"/>
        <v>7154.7800000000007</v>
      </c>
      <c r="T26" s="13">
        <f t="shared" si="12"/>
        <v>8278.0067894680578</v>
      </c>
    </row>
    <row r="27" spans="2:32" ht="15.75" customHeight="1" x14ac:dyDescent="0.15">
      <c r="B27" s="3"/>
      <c r="C27" s="3"/>
      <c r="D27" s="3"/>
      <c r="E27" s="3"/>
      <c r="F27" s="3"/>
      <c r="G27" s="3"/>
      <c r="H27" s="3"/>
      <c r="I27" s="3"/>
      <c r="J27">
        <v>1400</v>
      </c>
      <c r="K27" s="13">
        <f t="shared" si="0"/>
        <v>5726.25</v>
      </c>
      <c r="L27" s="13">
        <f t="shared" si="6"/>
        <v>6517.8720000000003</v>
      </c>
      <c r="M27" s="13">
        <f t="shared" si="7"/>
        <v>7229.9513811337856</v>
      </c>
      <c r="N27" s="13">
        <f t="shared" si="8"/>
        <v>7751.450813499574</v>
      </c>
      <c r="O27" s="13">
        <f t="shared" si="9"/>
        <v>6759.7739557233963</v>
      </c>
      <c r="P27" s="13">
        <f t="shared" si="10"/>
        <v>5833.3333333333339</v>
      </c>
      <c r="Q27" s="13">
        <f t="shared" si="1"/>
        <v>6055.7300000000005</v>
      </c>
      <c r="R27" s="13">
        <f t="shared" si="2"/>
        <v>6098.8615997940342</v>
      </c>
      <c r="S27" s="13">
        <f t="shared" si="11"/>
        <v>7434.2300000000005</v>
      </c>
      <c r="T27" s="13">
        <f t="shared" si="12"/>
        <v>8646.4814326915148</v>
      </c>
    </row>
    <row r="28" spans="2:32" ht="15.75" customHeight="1" x14ac:dyDescent="0.15">
      <c r="B28" s="3"/>
      <c r="C28" s="3"/>
      <c r="D28" s="3"/>
      <c r="E28" s="3"/>
      <c r="F28" s="3"/>
      <c r="G28" s="3"/>
      <c r="H28" s="3"/>
      <c r="I28" s="3"/>
      <c r="J28">
        <v>1450</v>
      </c>
      <c r="K28" s="13">
        <f t="shared" si="0"/>
        <v>5926.42</v>
      </c>
      <c r="L28" s="13">
        <f t="shared" si="6"/>
        <v>6757.107</v>
      </c>
      <c r="M28" s="13">
        <f t="shared" si="7"/>
        <v>7525.8344141672769</v>
      </c>
      <c r="N28" s="13">
        <f t="shared" si="8"/>
        <v>8087.8532219126737</v>
      </c>
      <c r="O28" s="13">
        <f t="shared" si="9"/>
        <v>7025.0661308968674</v>
      </c>
      <c r="P28" s="13">
        <f t="shared" si="10"/>
        <v>6041.666666666667</v>
      </c>
      <c r="Q28" s="13">
        <f t="shared" si="1"/>
        <v>6274.9850000000006</v>
      </c>
      <c r="R28" s="13">
        <f t="shared" si="2"/>
        <v>6326.1278872672392</v>
      </c>
      <c r="S28" s="13">
        <f t="shared" si="11"/>
        <v>7713.68</v>
      </c>
      <c r="T28" s="13">
        <f t="shared" si="12"/>
        <v>9017.5648277749278</v>
      </c>
    </row>
    <row r="29" spans="2:32" ht="15.75" customHeight="1" x14ac:dyDescent="0.15">
      <c r="B29" s="3"/>
      <c r="C29" s="3"/>
      <c r="D29" s="3"/>
      <c r="E29" s="3"/>
      <c r="F29" s="3"/>
      <c r="G29" s="3"/>
      <c r="H29" s="3"/>
      <c r="I29" s="3"/>
      <c r="J29">
        <v>1500</v>
      </c>
      <c r="K29" s="13">
        <f t="shared" si="0"/>
        <v>6126.59</v>
      </c>
      <c r="L29" s="13">
        <f t="shared" si="6"/>
        <v>6996.3420000000006</v>
      </c>
      <c r="M29" s="13">
        <f t="shared" si="7"/>
        <v>7823.1803296881562</v>
      </c>
      <c r="N29" s="13">
        <f t="shared" si="8"/>
        <v>8426.7085206942811</v>
      </c>
      <c r="O29" s="13">
        <f t="shared" si="9"/>
        <v>7291.2473163014483</v>
      </c>
      <c r="P29" s="13">
        <f t="shared" si="10"/>
        <v>6250</v>
      </c>
      <c r="Q29" s="13">
        <f t="shared" si="1"/>
        <v>6494.2400000000007</v>
      </c>
      <c r="R29" s="13">
        <f t="shared" si="2"/>
        <v>6553.7283312813342</v>
      </c>
      <c r="S29" s="13">
        <f t="shared" si="11"/>
        <v>7993.13</v>
      </c>
      <c r="T29" s="13">
        <f t="shared" si="12"/>
        <v>9391.1845085376699</v>
      </c>
    </row>
    <row r="30" spans="2:32" ht="15.75" customHeight="1" x14ac:dyDescent="0.15">
      <c r="B30" s="3"/>
      <c r="C30" s="3"/>
      <c r="D30" s="3"/>
      <c r="E30" s="3"/>
      <c r="F30" s="3"/>
      <c r="G30" s="3"/>
      <c r="H30" s="3"/>
      <c r="I30" s="3"/>
    </row>
    <row r="31" spans="2:32" ht="15.75" customHeight="1" x14ac:dyDescent="0.15">
      <c r="B31" s="3"/>
      <c r="C31" s="3"/>
      <c r="D31" s="3"/>
      <c r="E31" s="3"/>
      <c r="F31" s="3"/>
      <c r="G31" s="3"/>
      <c r="H31" s="3"/>
      <c r="I31" s="3"/>
    </row>
    <row r="32" spans="2:32" ht="15.75" customHeight="1" x14ac:dyDescent="0.15">
      <c r="B32" s="3"/>
      <c r="C32" s="3"/>
      <c r="D32" s="3"/>
      <c r="E32" s="3"/>
      <c r="F32" s="3"/>
      <c r="G32" s="3"/>
      <c r="H32" s="3"/>
      <c r="I32" s="3"/>
    </row>
    <row r="33" spans="2:9" ht="15.75" customHeight="1" x14ac:dyDescent="0.15">
      <c r="B33" s="3"/>
      <c r="C33" s="3"/>
      <c r="D33" s="3"/>
      <c r="E33" s="3"/>
      <c r="F33" s="3"/>
      <c r="G33" s="3"/>
      <c r="H33" s="3"/>
      <c r="I33" s="3"/>
    </row>
    <row r="34" spans="2:9" ht="15.75" customHeight="1" x14ac:dyDescent="0.15">
      <c r="B34" s="3"/>
      <c r="C34" s="3"/>
      <c r="D34" s="3"/>
      <c r="E34" s="3"/>
      <c r="F34" s="3"/>
      <c r="G34" s="3"/>
      <c r="H34" s="3"/>
      <c r="I34" s="3"/>
    </row>
    <row r="35" spans="2:9" ht="15.75" customHeight="1" x14ac:dyDescent="0.15">
      <c r="B35" s="3"/>
      <c r="C35" s="3"/>
      <c r="D35" s="3"/>
      <c r="E35" s="3"/>
      <c r="F35" s="3"/>
      <c r="G35" s="3"/>
      <c r="H35" s="3"/>
      <c r="I35" s="3"/>
    </row>
    <row r="36" spans="2:9" ht="15.75" customHeight="1" x14ac:dyDescent="0.15">
      <c r="B36" s="3"/>
      <c r="C36" s="3"/>
      <c r="D36" s="3"/>
      <c r="E36" s="3"/>
      <c r="F36" s="3"/>
      <c r="G36" s="3"/>
      <c r="H36" s="3"/>
      <c r="I36" s="3"/>
    </row>
    <row r="37" spans="2:9" ht="15.75" customHeight="1" x14ac:dyDescent="0.15">
      <c r="B37" s="3"/>
      <c r="C37" s="3"/>
      <c r="D37" s="3"/>
      <c r="E37" s="3"/>
      <c r="F37" s="3"/>
      <c r="G37" s="3"/>
      <c r="H37" s="3"/>
      <c r="I37" s="3"/>
    </row>
    <row r="38" spans="2:9" ht="15.75" customHeight="1" x14ac:dyDescent="0.15">
      <c r="B38" s="3"/>
      <c r="C38" s="3"/>
      <c r="D38" s="3"/>
      <c r="E38" s="3"/>
      <c r="F38" s="3"/>
      <c r="G38" s="3"/>
      <c r="H38" s="3"/>
      <c r="I38" s="3"/>
    </row>
    <row r="39" spans="2:9" ht="15.75" customHeight="1" x14ac:dyDescent="0.15">
      <c r="B39" s="3"/>
      <c r="C39" s="3"/>
      <c r="D39" s="3"/>
      <c r="E39" s="3"/>
      <c r="F39" s="3"/>
      <c r="G39" s="3"/>
      <c r="H39" s="3"/>
      <c r="I39" s="3"/>
    </row>
    <row r="40" spans="2:9" ht="15.75" customHeight="1" x14ac:dyDescent="0.15">
      <c r="B40" s="3"/>
      <c r="C40" s="3"/>
      <c r="D40" s="3"/>
      <c r="E40" s="3"/>
      <c r="F40" s="3"/>
      <c r="G40" s="3"/>
      <c r="H40" s="3"/>
      <c r="I40" s="3"/>
    </row>
    <row r="41" spans="2:9" ht="15.75" customHeight="1" x14ac:dyDescent="0.15">
      <c r="B41" s="3"/>
      <c r="C41" s="3"/>
      <c r="D41" s="3"/>
      <c r="E41" s="3"/>
      <c r="F41" s="3"/>
      <c r="G41" s="3"/>
      <c r="H41" s="3"/>
      <c r="I41" s="3"/>
    </row>
    <row r="42" spans="2:9" ht="15.75" customHeight="1" x14ac:dyDescent="0.15">
      <c r="B42" s="3"/>
      <c r="C42" s="3"/>
      <c r="D42" s="3"/>
      <c r="E42" s="3"/>
      <c r="F42" s="3"/>
      <c r="G42" s="3"/>
      <c r="H42" s="3"/>
      <c r="I42" s="3"/>
    </row>
    <row r="43" spans="2:9" ht="15.75" customHeight="1" x14ac:dyDescent="0.15">
      <c r="B43" s="3"/>
      <c r="C43" s="3"/>
      <c r="D43" s="3"/>
      <c r="E43" s="3"/>
      <c r="F43" s="3"/>
      <c r="G43" s="3"/>
      <c r="H43" s="3"/>
      <c r="I43" s="3"/>
    </row>
    <row r="44" spans="2:9" ht="15.75" customHeight="1" x14ac:dyDescent="0.15">
      <c r="B44" s="3"/>
      <c r="C44" s="3"/>
      <c r="D44" s="3"/>
      <c r="E44" s="3"/>
      <c r="F44" s="3"/>
      <c r="G44" s="3"/>
      <c r="H44" s="3"/>
      <c r="I44" s="3"/>
    </row>
    <row r="45" spans="2:9" ht="15.75" customHeight="1" x14ac:dyDescent="0.15">
      <c r="B45" s="3"/>
      <c r="C45" s="3"/>
      <c r="D45" s="3"/>
      <c r="E45" s="3"/>
      <c r="F45" s="3"/>
      <c r="G45" s="3"/>
      <c r="H45" s="3"/>
      <c r="I45" s="3"/>
    </row>
    <row r="46" spans="2:9" ht="15.75" customHeight="1" x14ac:dyDescent="0.15">
      <c r="B46" s="3"/>
      <c r="C46" s="3"/>
      <c r="D46" s="3"/>
      <c r="E46" s="3"/>
      <c r="F46" s="3"/>
      <c r="G46" s="3"/>
      <c r="H46" s="3"/>
      <c r="I46" s="3"/>
    </row>
    <row r="47" spans="2:9" ht="15.75" customHeight="1" x14ac:dyDescent="0.15">
      <c r="B47" s="3"/>
      <c r="C47" s="3"/>
      <c r="D47" s="3"/>
      <c r="E47" s="3"/>
      <c r="F47" s="3"/>
      <c r="G47" s="3"/>
      <c r="H47" s="3"/>
      <c r="I47" s="3"/>
    </row>
    <row r="48" spans="2:9" ht="15.75" customHeight="1" x14ac:dyDescent="0.15">
      <c r="B48" s="3"/>
      <c r="C48" s="3"/>
      <c r="D48" s="3"/>
      <c r="E48" s="3"/>
      <c r="F48" s="3"/>
      <c r="G48" s="3"/>
      <c r="H48" s="3"/>
      <c r="I48" s="3"/>
    </row>
    <row r="49" spans="2:9" ht="15.75" customHeight="1" x14ac:dyDescent="0.15">
      <c r="B49" s="3"/>
      <c r="C49" s="3"/>
      <c r="D49" s="3"/>
      <c r="E49" s="3"/>
      <c r="F49" s="3"/>
      <c r="G49" s="3"/>
      <c r="H49" s="3"/>
      <c r="I49" s="3"/>
    </row>
    <row r="50" spans="2:9" ht="15.75" customHeight="1" x14ac:dyDescent="0.15">
      <c r="B50" s="3"/>
      <c r="C50" s="3"/>
      <c r="D50" s="3"/>
      <c r="E50" s="3"/>
      <c r="F50" s="3"/>
      <c r="G50" s="3"/>
      <c r="H50" s="3"/>
      <c r="I50" s="3"/>
    </row>
    <row r="51" spans="2:9" ht="15.75" customHeight="1" x14ac:dyDescent="0.15">
      <c r="B51" s="3"/>
      <c r="C51" s="3"/>
      <c r="D51" s="3"/>
      <c r="E51" s="3"/>
      <c r="F51" s="3"/>
      <c r="G51" s="3"/>
      <c r="H51" s="3"/>
      <c r="I51" s="3"/>
    </row>
    <row r="52" spans="2:9" ht="15.75" customHeight="1" x14ac:dyDescent="0.15">
      <c r="B52" s="3"/>
      <c r="C52" s="3"/>
      <c r="D52" s="3"/>
      <c r="E52" s="3"/>
      <c r="F52" s="3"/>
      <c r="G52" s="3"/>
      <c r="H52" s="3"/>
      <c r="I52" s="3"/>
    </row>
    <row r="53" spans="2:9" ht="15.75" customHeight="1" x14ac:dyDescent="0.15">
      <c r="B53" s="3"/>
      <c r="C53" s="3"/>
      <c r="D53" s="3"/>
      <c r="E53" s="3"/>
      <c r="F53" s="3"/>
      <c r="G53" s="3"/>
      <c r="H53" s="3"/>
      <c r="I53" s="3"/>
    </row>
    <row r="54" spans="2:9" ht="15.75" customHeight="1" x14ac:dyDescent="0.15">
      <c r="B54" s="3"/>
      <c r="C54" s="3"/>
      <c r="D54" s="3"/>
      <c r="E54" s="3"/>
      <c r="F54" s="3"/>
      <c r="G54" s="3"/>
      <c r="H54" s="3"/>
      <c r="I54" s="3"/>
    </row>
    <row r="55" spans="2:9" ht="15.75" customHeight="1" x14ac:dyDescent="0.15">
      <c r="B55" s="3"/>
      <c r="C55" s="3"/>
      <c r="D55" s="3"/>
      <c r="E55" s="3"/>
      <c r="F55" s="3"/>
      <c r="G55" s="3"/>
      <c r="H55" s="3"/>
      <c r="I55" s="3"/>
    </row>
    <row r="56" spans="2:9" ht="15.75" customHeight="1" x14ac:dyDescent="0.15">
      <c r="B56" s="3"/>
      <c r="C56" s="3"/>
      <c r="D56" s="3"/>
      <c r="E56" s="3"/>
      <c r="F56" s="3"/>
      <c r="G56" s="3"/>
      <c r="H56" s="3"/>
      <c r="I56" s="3"/>
    </row>
    <row r="57" spans="2:9" ht="15.75" customHeight="1" x14ac:dyDescent="0.15">
      <c r="B57" s="3"/>
      <c r="C57" s="3"/>
      <c r="D57" s="3"/>
      <c r="E57" s="3"/>
      <c r="F57" s="3"/>
      <c r="G57" s="3"/>
      <c r="H57" s="3"/>
      <c r="I57" s="3"/>
    </row>
    <row r="58" spans="2:9" ht="15.75" customHeight="1" x14ac:dyDescent="0.15">
      <c r="B58" s="3"/>
      <c r="C58" s="3"/>
      <c r="D58" s="3"/>
      <c r="E58" s="3"/>
      <c r="F58" s="3"/>
      <c r="G58" s="3"/>
      <c r="H58" s="3"/>
      <c r="I58" s="3"/>
    </row>
    <row r="59" spans="2:9" ht="15.75" customHeight="1" x14ac:dyDescent="0.15">
      <c r="B59" s="3"/>
      <c r="C59" s="3"/>
      <c r="D59" s="3"/>
      <c r="E59" s="3"/>
      <c r="F59" s="3"/>
      <c r="G59" s="3"/>
      <c r="H59" s="3"/>
      <c r="I59" s="3"/>
    </row>
    <row r="60" spans="2:9" ht="15.75" customHeight="1" x14ac:dyDescent="0.15">
      <c r="B60" s="3"/>
      <c r="C60" s="3"/>
      <c r="D60" s="3"/>
      <c r="E60" s="3"/>
      <c r="F60" s="3"/>
      <c r="G60" s="3"/>
      <c r="H60" s="3"/>
      <c r="I60" s="3"/>
    </row>
    <row r="61" spans="2:9" ht="15.75" customHeight="1" x14ac:dyDescent="0.15">
      <c r="B61" s="3"/>
      <c r="C61" s="3"/>
      <c r="D61" s="3"/>
      <c r="E61" s="3"/>
      <c r="F61" s="3"/>
      <c r="G61" s="3"/>
      <c r="H61" s="3"/>
      <c r="I61" s="3"/>
    </row>
    <row r="62" spans="2:9" ht="15.75" customHeight="1" x14ac:dyDescent="0.15">
      <c r="B62" s="3"/>
      <c r="C62" s="3"/>
      <c r="D62" s="3"/>
      <c r="E62" s="3"/>
      <c r="F62" s="3"/>
      <c r="G62" s="3"/>
      <c r="H62" s="3"/>
      <c r="I62" s="3"/>
    </row>
    <row r="63" spans="2:9" ht="15.75" customHeight="1" x14ac:dyDescent="0.15">
      <c r="B63" s="3"/>
      <c r="C63" s="3"/>
      <c r="D63" s="3"/>
      <c r="E63" s="3"/>
      <c r="F63" s="3"/>
      <c r="G63" s="3"/>
      <c r="H63" s="3"/>
      <c r="I63" s="3"/>
    </row>
    <row r="64" spans="2:9" ht="15.75" customHeight="1" x14ac:dyDescent="0.15">
      <c r="B64" s="3"/>
      <c r="C64" s="3"/>
      <c r="D64" s="3"/>
      <c r="E64" s="3"/>
      <c r="F64" s="3"/>
      <c r="G64" s="3"/>
      <c r="H64" s="3"/>
      <c r="I64" s="3"/>
    </row>
    <row r="65" spans="2:9" ht="13" x14ac:dyDescent="0.15">
      <c r="B65" s="3"/>
      <c r="C65" s="3"/>
      <c r="D65" s="3"/>
      <c r="E65" s="3"/>
      <c r="F65" s="3"/>
      <c r="G65" s="3"/>
      <c r="H65" s="3"/>
      <c r="I65" s="3"/>
    </row>
    <row r="66" spans="2:9" ht="13" x14ac:dyDescent="0.15">
      <c r="B66" s="3"/>
      <c r="C66" s="3"/>
      <c r="D66" s="3"/>
      <c r="E66" s="3"/>
      <c r="F66" s="3"/>
      <c r="G66" s="3"/>
      <c r="H66" s="3"/>
      <c r="I66" s="3"/>
    </row>
    <row r="67" spans="2:9" ht="13" x14ac:dyDescent="0.15">
      <c r="B67" s="3"/>
      <c r="C67" s="3"/>
      <c r="D67" s="3"/>
      <c r="E67" s="3"/>
      <c r="F67" s="3"/>
      <c r="G67" s="3"/>
      <c r="H67" s="3"/>
      <c r="I67" s="3"/>
    </row>
    <row r="68" spans="2:9" ht="13" x14ac:dyDescent="0.15">
      <c r="B68" s="3"/>
      <c r="C68" s="3"/>
      <c r="D68" s="3"/>
      <c r="E68" s="3"/>
      <c r="F68" s="3"/>
      <c r="G68" s="3"/>
      <c r="H68" s="3"/>
      <c r="I68" s="3"/>
    </row>
    <row r="69" spans="2:9" ht="13" x14ac:dyDescent="0.15">
      <c r="B69" s="3"/>
      <c r="C69" s="3"/>
      <c r="D69" s="3"/>
      <c r="E69" s="3"/>
      <c r="F69" s="3"/>
      <c r="G69" s="3"/>
      <c r="H69" s="3"/>
      <c r="I69" s="3"/>
    </row>
    <row r="70" spans="2:9" ht="13" x14ac:dyDescent="0.15">
      <c r="B70" s="3"/>
      <c r="C70" s="3"/>
      <c r="D70" s="3"/>
      <c r="E70" s="3"/>
      <c r="F70" s="3"/>
      <c r="G70" s="3"/>
      <c r="H70" s="3"/>
      <c r="I70" s="3"/>
    </row>
    <row r="71" spans="2:9" ht="13" x14ac:dyDescent="0.15">
      <c r="B71" s="3"/>
      <c r="C71" s="3"/>
      <c r="D71" s="3"/>
      <c r="E71" s="3"/>
      <c r="F71" s="3"/>
      <c r="G71" s="3"/>
      <c r="H71" s="3"/>
      <c r="I71" s="3"/>
    </row>
    <row r="72" spans="2:9" ht="13" x14ac:dyDescent="0.15">
      <c r="B72" s="3"/>
      <c r="C72" s="3"/>
      <c r="D72" s="3"/>
      <c r="E72" s="3"/>
      <c r="F72" s="3"/>
      <c r="G72" s="3"/>
      <c r="H72" s="3"/>
      <c r="I72" s="3"/>
    </row>
    <row r="73" spans="2:9" ht="13" x14ac:dyDescent="0.15">
      <c r="B73" s="3"/>
      <c r="C73" s="3"/>
      <c r="D73" s="3"/>
      <c r="E73" s="3"/>
      <c r="F73" s="3"/>
      <c r="G73" s="3"/>
      <c r="H73" s="3"/>
      <c r="I73" s="3"/>
    </row>
    <row r="74" spans="2:9" ht="13" x14ac:dyDescent="0.15">
      <c r="B74" s="3"/>
      <c r="C74" s="3"/>
      <c r="D74" s="3"/>
      <c r="E74" s="3"/>
      <c r="F74" s="3"/>
      <c r="G74" s="3"/>
      <c r="H74" s="3"/>
      <c r="I74" s="3"/>
    </row>
    <row r="75" spans="2:9" ht="13" x14ac:dyDescent="0.15">
      <c r="B75" s="3"/>
      <c r="C75" s="3"/>
      <c r="D75" s="3"/>
      <c r="E75" s="3"/>
      <c r="F75" s="3"/>
      <c r="G75" s="3"/>
      <c r="H75" s="3"/>
      <c r="I75" s="3"/>
    </row>
    <row r="76" spans="2:9" ht="13" x14ac:dyDescent="0.15">
      <c r="B76" s="3"/>
      <c r="C76" s="3"/>
      <c r="D76" s="3"/>
      <c r="E76" s="3"/>
      <c r="F76" s="3"/>
      <c r="G76" s="3"/>
      <c r="H76" s="3"/>
      <c r="I76" s="3"/>
    </row>
    <row r="77" spans="2:9" ht="13" x14ac:dyDescent="0.15">
      <c r="B77" s="3"/>
      <c r="C77" s="3"/>
      <c r="D77" s="3"/>
      <c r="E77" s="3"/>
      <c r="F77" s="3"/>
      <c r="G77" s="3"/>
      <c r="H77" s="3"/>
      <c r="I77" s="3"/>
    </row>
    <row r="78" spans="2:9" ht="13" x14ac:dyDescent="0.15">
      <c r="B78" s="3"/>
      <c r="C78" s="3"/>
      <c r="D78" s="3"/>
      <c r="E78" s="3"/>
      <c r="F78" s="3"/>
      <c r="G78" s="3"/>
      <c r="H78" s="3"/>
      <c r="I78" s="3"/>
    </row>
    <row r="79" spans="2:9" ht="13" x14ac:dyDescent="0.15">
      <c r="B79" s="3"/>
      <c r="C79" s="3"/>
      <c r="D79" s="3"/>
      <c r="E79" s="3"/>
      <c r="F79" s="3"/>
      <c r="G79" s="3"/>
      <c r="H79" s="3"/>
      <c r="I79" s="3"/>
    </row>
    <row r="80" spans="2:9" ht="13" x14ac:dyDescent="0.15">
      <c r="B80" s="3"/>
      <c r="C80" s="3"/>
      <c r="D80" s="3"/>
      <c r="E80" s="3"/>
      <c r="F80" s="3"/>
      <c r="G80" s="3"/>
      <c r="H80" s="3"/>
      <c r="I80" s="3"/>
    </row>
    <row r="81" spans="2:9" ht="13" x14ac:dyDescent="0.15">
      <c r="B81" s="3"/>
      <c r="C81" s="3"/>
      <c r="D81" s="3"/>
      <c r="E81" s="3"/>
      <c r="F81" s="3"/>
      <c r="G81" s="3"/>
      <c r="H81" s="3"/>
      <c r="I81" s="3"/>
    </row>
    <row r="82" spans="2:9" ht="13" x14ac:dyDescent="0.15">
      <c r="B82" s="3"/>
      <c r="C82" s="3"/>
      <c r="D82" s="3"/>
      <c r="E82" s="3"/>
      <c r="F82" s="3"/>
      <c r="G82" s="3"/>
      <c r="H82" s="3"/>
      <c r="I82" s="3"/>
    </row>
    <row r="83" spans="2:9" ht="13" x14ac:dyDescent="0.15">
      <c r="B83" s="3"/>
      <c r="C83" s="3"/>
      <c r="D83" s="3"/>
      <c r="E83" s="3"/>
      <c r="F83" s="3"/>
      <c r="G83" s="3"/>
      <c r="H83" s="3"/>
      <c r="I83" s="3"/>
    </row>
    <row r="84" spans="2:9" ht="13" x14ac:dyDescent="0.15">
      <c r="B84" s="3"/>
      <c r="C84" s="3"/>
      <c r="D84" s="3"/>
      <c r="E84" s="3"/>
      <c r="F84" s="3"/>
      <c r="G84" s="3"/>
      <c r="H84" s="3"/>
      <c r="I84" s="3"/>
    </row>
    <row r="85" spans="2:9" ht="13" x14ac:dyDescent="0.15">
      <c r="B85" s="3"/>
      <c r="C85" s="3"/>
      <c r="D85" s="3"/>
      <c r="E85" s="3"/>
      <c r="F85" s="3"/>
      <c r="G85" s="3"/>
      <c r="H85" s="3"/>
      <c r="I85" s="3"/>
    </row>
    <row r="86" spans="2:9" ht="13" x14ac:dyDescent="0.15">
      <c r="B86" s="3"/>
      <c r="C86" s="3"/>
      <c r="D86" s="3"/>
      <c r="E86" s="3"/>
      <c r="F86" s="3"/>
      <c r="G86" s="3"/>
      <c r="H86" s="3"/>
      <c r="I86" s="3"/>
    </row>
    <row r="87" spans="2:9" ht="13" x14ac:dyDescent="0.15">
      <c r="B87" s="3"/>
      <c r="C87" s="3"/>
      <c r="D87" s="3"/>
      <c r="E87" s="3"/>
      <c r="F87" s="3"/>
      <c r="G87" s="3"/>
      <c r="H87" s="3"/>
      <c r="I87" s="3"/>
    </row>
    <row r="88" spans="2:9" ht="13" x14ac:dyDescent="0.15">
      <c r="B88" s="3"/>
      <c r="C88" s="3"/>
      <c r="D88" s="3"/>
      <c r="E88" s="3"/>
      <c r="F88" s="3"/>
      <c r="G88" s="3"/>
      <c r="H88" s="3"/>
      <c r="I88" s="3"/>
    </row>
    <row r="89" spans="2:9" ht="13" x14ac:dyDescent="0.15">
      <c r="B89" s="3"/>
      <c r="C89" s="3"/>
      <c r="D89" s="3"/>
      <c r="E89" s="3"/>
      <c r="F89" s="3"/>
      <c r="G89" s="3"/>
      <c r="H89" s="3"/>
      <c r="I89" s="3"/>
    </row>
    <row r="90" spans="2:9" ht="13" x14ac:dyDescent="0.15">
      <c r="B90" s="3"/>
      <c r="C90" s="3"/>
      <c r="D90" s="3"/>
      <c r="E90" s="3"/>
      <c r="F90" s="3"/>
      <c r="G90" s="3"/>
      <c r="H90" s="3"/>
      <c r="I90" s="3"/>
    </row>
    <row r="91" spans="2:9" ht="13" x14ac:dyDescent="0.15">
      <c r="B91" s="3"/>
      <c r="C91" s="3"/>
      <c r="D91" s="3"/>
      <c r="E91" s="3"/>
      <c r="F91" s="3"/>
      <c r="G91" s="3"/>
      <c r="H91" s="3"/>
      <c r="I91" s="3"/>
    </row>
    <row r="92" spans="2:9" ht="13" x14ac:dyDescent="0.15">
      <c r="B92" s="3"/>
      <c r="C92" s="3"/>
      <c r="D92" s="3"/>
      <c r="E92" s="3"/>
      <c r="F92" s="3"/>
      <c r="G92" s="3"/>
      <c r="H92" s="3"/>
      <c r="I92" s="3"/>
    </row>
    <row r="93" spans="2:9" ht="13" x14ac:dyDescent="0.15">
      <c r="B93" s="3"/>
      <c r="C93" s="3"/>
      <c r="D93" s="3"/>
      <c r="E93" s="3"/>
      <c r="F93" s="3"/>
      <c r="G93" s="3"/>
      <c r="H93" s="3"/>
      <c r="I93" s="3"/>
    </row>
    <row r="94" spans="2:9" ht="13" x14ac:dyDescent="0.15">
      <c r="B94" s="3"/>
      <c r="C94" s="3"/>
      <c r="D94" s="3"/>
      <c r="E94" s="3"/>
      <c r="F94" s="3"/>
      <c r="G94" s="3"/>
      <c r="H94" s="3"/>
      <c r="I94" s="3"/>
    </row>
    <row r="95" spans="2:9" ht="13" x14ac:dyDescent="0.15">
      <c r="B95" s="3"/>
      <c r="C95" s="3"/>
      <c r="D95" s="3"/>
      <c r="E95" s="3"/>
      <c r="F95" s="3"/>
      <c r="G95" s="3"/>
      <c r="H95" s="3"/>
      <c r="I95" s="3"/>
    </row>
    <row r="96" spans="2:9" ht="13" x14ac:dyDescent="0.15">
      <c r="B96" s="3"/>
      <c r="C96" s="3"/>
      <c r="D96" s="3"/>
      <c r="E96" s="3"/>
      <c r="F96" s="3"/>
      <c r="G96" s="3"/>
      <c r="H96" s="3"/>
      <c r="I96" s="3"/>
    </row>
    <row r="97" spans="2:9" ht="13" x14ac:dyDescent="0.15">
      <c r="B97" s="3"/>
      <c r="C97" s="3"/>
      <c r="D97" s="3"/>
      <c r="E97" s="3"/>
      <c r="F97" s="3"/>
      <c r="G97" s="3"/>
      <c r="H97" s="3"/>
      <c r="I97" s="3"/>
    </row>
    <row r="98" spans="2:9" ht="13" x14ac:dyDescent="0.15">
      <c r="B98" s="3"/>
      <c r="C98" s="3"/>
      <c r="D98" s="3"/>
      <c r="E98" s="3"/>
      <c r="F98" s="3"/>
      <c r="G98" s="3"/>
      <c r="H98" s="3"/>
      <c r="I98" s="3"/>
    </row>
    <row r="99" spans="2:9" ht="13" x14ac:dyDescent="0.15">
      <c r="B99" s="3"/>
      <c r="C99" s="3"/>
      <c r="D99" s="3"/>
      <c r="E99" s="3"/>
      <c r="F99" s="3"/>
      <c r="G99" s="3"/>
      <c r="H99" s="3"/>
      <c r="I99" s="3"/>
    </row>
    <row r="100" spans="2:9" ht="13" x14ac:dyDescent="0.15">
      <c r="B100" s="3"/>
      <c r="C100" s="3"/>
      <c r="D100" s="3"/>
      <c r="E100" s="3"/>
      <c r="F100" s="3"/>
      <c r="G100" s="3"/>
      <c r="H100" s="3"/>
      <c r="I100" s="3"/>
    </row>
    <row r="101" spans="2:9" ht="13" x14ac:dyDescent="0.15">
      <c r="B101" s="3"/>
      <c r="C101" s="3"/>
      <c r="D101" s="3"/>
      <c r="E101" s="3"/>
      <c r="F101" s="3"/>
      <c r="G101" s="3"/>
      <c r="H101" s="3"/>
      <c r="I101" s="3"/>
    </row>
    <row r="102" spans="2:9" ht="13" x14ac:dyDescent="0.15">
      <c r="B102" s="3"/>
      <c r="C102" s="3"/>
      <c r="D102" s="3"/>
      <c r="E102" s="3"/>
      <c r="F102" s="3"/>
      <c r="G102" s="3"/>
      <c r="H102" s="3"/>
      <c r="I102" s="3"/>
    </row>
    <row r="103" spans="2:9" ht="13" x14ac:dyDescent="0.15">
      <c r="B103" s="3"/>
      <c r="C103" s="3"/>
      <c r="D103" s="3"/>
      <c r="E103" s="3"/>
      <c r="F103" s="3"/>
      <c r="G103" s="3"/>
      <c r="H103" s="3"/>
      <c r="I103" s="3"/>
    </row>
    <row r="104" spans="2:9" ht="13" x14ac:dyDescent="0.15">
      <c r="B104" s="3"/>
      <c r="C104" s="3"/>
      <c r="D104" s="3"/>
      <c r="E104" s="3"/>
      <c r="F104" s="3"/>
      <c r="G104" s="3"/>
      <c r="H104" s="3"/>
      <c r="I104" s="3"/>
    </row>
    <row r="105" spans="2:9" ht="13" x14ac:dyDescent="0.15">
      <c r="B105" s="3"/>
      <c r="C105" s="3"/>
      <c r="D105" s="3"/>
      <c r="E105" s="3"/>
      <c r="F105" s="3"/>
      <c r="G105" s="3"/>
      <c r="H105" s="3"/>
      <c r="I105" s="3"/>
    </row>
    <row r="106" spans="2:9" ht="13" x14ac:dyDescent="0.15">
      <c r="B106" s="3"/>
      <c r="C106" s="3"/>
      <c r="D106" s="3"/>
      <c r="E106" s="3"/>
      <c r="F106" s="3"/>
      <c r="G106" s="3"/>
      <c r="H106" s="3"/>
      <c r="I106" s="3"/>
    </row>
    <row r="107" spans="2:9" ht="13" x14ac:dyDescent="0.15">
      <c r="B107" s="3"/>
      <c r="C107" s="3"/>
      <c r="D107" s="3"/>
      <c r="E107" s="3"/>
      <c r="F107" s="3"/>
      <c r="G107" s="3"/>
      <c r="H107" s="3"/>
      <c r="I107" s="3"/>
    </row>
    <row r="108" spans="2:9" ht="13" x14ac:dyDescent="0.15">
      <c r="B108" s="3"/>
      <c r="C108" s="3"/>
      <c r="D108" s="3"/>
      <c r="E108" s="3"/>
      <c r="F108" s="3"/>
      <c r="G108" s="3"/>
      <c r="H108" s="3"/>
      <c r="I108" s="3"/>
    </row>
    <row r="109" spans="2:9" ht="13" x14ac:dyDescent="0.15">
      <c r="B109" s="3"/>
      <c r="C109" s="3"/>
      <c r="D109" s="3"/>
      <c r="E109" s="3"/>
      <c r="F109" s="3"/>
      <c r="G109" s="3"/>
      <c r="H109" s="3"/>
      <c r="I109" s="3"/>
    </row>
    <row r="110" spans="2:9" ht="13" x14ac:dyDescent="0.15">
      <c r="B110" s="3"/>
      <c r="C110" s="3"/>
      <c r="D110" s="3"/>
      <c r="E110" s="3"/>
      <c r="F110" s="3"/>
      <c r="G110" s="3"/>
      <c r="H110" s="3"/>
      <c r="I110" s="3"/>
    </row>
    <row r="111" spans="2:9" ht="13" x14ac:dyDescent="0.15">
      <c r="B111" s="3"/>
      <c r="C111" s="3"/>
      <c r="D111" s="3"/>
      <c r="E111" s="3"/>
      <c r="F111" s="3"/>
      <c r="G111" s="3"/>
      <c r="H111" s="3"/>
      <c r="I111" s="3"/>
    </row>
    <row r="112" spans="2:9" ht="13" x14ac:dyDescent="0.15">
      <c r="B112" s="3"/>
      <c r="C112" s="3"/>
      <c r="D112" s="3"/>
      <c r="E112" s="3"/>
      <c r="F112" s="3"/>
      <c r="G112" s="3"/>
      <c r="H112" s="3"/>
      <c r="I112" s="3"/>
    </row>
    <row r="113" spans="2:9" ht="13" x14ac:dyDescent="0.15">
      <c r="B113" s="3"/>
      <c r="C113" s="3"/>
      <c r="D113" s="3"/>
      <c r="E113" s="3"/>
      <c r="F113" s="3"/>
      <c r="G113" s="3"/>
      <c r="H113" s="3"/>
      <c r="I113" s="3"/>
    </row>
    <row r="114" spans="2:9" ht="13" x14ac:dyDescent="0.15">
      <c r="B114" s="3"/>
      <c r="C114" s="3"/>
      <c r="D114" s="3"/>
      <c r="E114" s="3"/>
      <c r="F114" s="3"/>
      <c r="G114" s="3"/>
      <c r="H114" s="3"/>
      <c r="I114" s="3"/>
    </row>
    <row r="115" spans="2:9" ht="13" x14ac:dyDescent="0.15">
      <c r="B115" s="3"/>
      <c r="C115" s="3"/>
      <c r="D115" s="3"/>
      <c r="E115" s="3"/>
      <c r="F115" s="3"/>
      <c r="G115" s="3"/>
      <c r="H115" s="3"/>
      <c r="I115" s="3"/>
    </row>
    <row r="116" spans="2:9" ht="13" x14ac:dyDescent="0.15">
      <c r="B116" s="3"/>
      <c r="C116" s="3"/>
      <c r="D116" s="3"/>
      <c r="E116" s="3"/>
      <c r="F116" s="3"/>
      <c r="G116" s="3"/>
      <c r="H116" s="3"/>
      <c r="I116" s="3"/>
    </row>
    <row r="117" spans="2:9" ht="13" x14ac:dyDescent="0.15">
      <c r="B117" s="3"/>
      <c r="C117" s="3"/>
      <c r="D117" s="3"/>
      <c r="E117" s="3"/>
      <c r="F117" s="3"/>
      <c r="G117" s="3"/>
      <c r="H117" s="3"/>
      <c r="I117" s="3"/>
    </row>
    <row r="118" spans="2:9" ht="13" x14ac:dyDescent="0.15">
      <c r="B118" s="3"/>
      <c r="C118" s="3"/>
      <c r="D118" s="3"/>
      <c r="E118" s="3"/>
      <c r="F118" s="3"/>
      <c r="G118" s="3"/>
      <c r="H118" s="3"/>
      <c r="I118" s="3"/>
    </row>
    <row r="119" spans="2:9" ht="13" x14ac:dyDescent="0.15">
      <c r="B119" s="3"/>
      <c r="C119" s="3"/>
      <c r="D119" s="3"/>
      <c r="E119" s="3"/>
      <c r="F119" s="3"/>
      <c r="G119" s="3"/>
      <c r="H119" s="3"/>
      <c r="I119" s="3"/>
    </row>
    <row r="120" spans="2:9" ht="13" x14ac:dyDescent="0.15">
      <c r="B120" s="3"/>
      <c r="C120" s="3"/>
      <c r="D120" s="3"/>
      <c r="E120" s="3"/>
      <c r="F120" s="3"/>
      <c r="G120" s="3"/>
      <c r="H120" s="3"/>
      <c r="I120" s="3"/>
    </row>
    <row r="121" spans="2:9" ht="13" x14ac:dyDescent="0.15">
      <c r="B121" s="3"/>
      <c r="C121" s="3"/>
      <c r="D121" s="3"/>
      <c r="E121" s="3"/>
      <c r="F121" s="3"/>
      <c r="G121" s="3"/>
      <c r="H121" s="3"/>
      <c r="I121" s="3"/>
    </row>
    <row r="122" spans="2:9" ht="13" x14ac:dyDescent="0.15">
      <c r="B122" s="3"/>
      <c r="C122" s="3"/>
      <c r="D122" s="3"/>
      <c r="E122" s="3"/>
      <c r="F122" s="3"/>
      <c r="G122" s="3"/>
      <c r="H122" s="3"/>
      <c r="I122" s="3"/>
    </row>
    <row r="123" spans="2:9" ht="13" x14ac:dyDescent="0.15">
      <c r="B123" s="3"/>
      <c r="C123" s="3"/>
      <c r="D123" s="3"/>
      <c r="E123" s="3"/>
      <c r="F123" s="3"/>
      <c r="G123" s="3"/>
      <c r="H123" s="3"/>
      <c r="I123" s="3"/>
    </row>
    <row r="124" spans="2:9" ht="13" x14ac:dyDescent="0.15">
      <c r="B124" s="3"/>
      <c r="C124" s="3"/>
      <c r="D124" s="3"/>
      <c r="E124" s="3"/>
      <c r="F124" s="3"/>
      <c r="G124" s="3"/>
      <c r="H124" s="3"/>
      <c r="I124" s="3"/>
    </row>
    <row r="125" spans="2:9" ht="13" x14ac:dyDescent="0.15">
      <c r="B125" s="3"/>
      <c r="C125" s="3"/>
      <c r="D125" s="3"/>
      <c r="E125" s="3"/>
      <c r="F125" s="3"/>
      <c r="G125" s="3"/>
      <c r="H125" s="3"/>
      <c r="I125" s="3"/>
    </row>
    <row r="126" spans="2:9" ht="13" x14ac:dyDescent="0.15">
      <c r="B126" s="3"/>
      <c r="C126" s="3"/>
      <c r="D126" s="3"/>
      <c r="E126" s="3"/>
      <c r="F126" s="3"/>
      <c r="G126" s="3"/>
      <c r="H126" s="3"/>
      <c r="I126" s="3"/>
    </row>
    <row r="127" spans="2:9" ht="13" x14ac:dyDescent="0.15">
      <c r="B127" s="3"/>
      <c r="C127" s="3"/>
      <c r="D127" s="3"/>
      <c r="E127" s="3"/>
      <c r="F127" s="3"/>
      <c r="G127" s="3"/>
      <c r="H127" s="3"/>
      <c r="I127" s="3"/>
    </row>
    <row r="128" spans="2:9" ht="13" x14ac:dyDescent="0.15">
      <c r="B128" s="3"/>
      <c r="C128" s="3"/>
      <c r="D128" s="3"/>
      <c r="E128" s="3"/>
      <c r="F128" s="3"/>
      <c r="G128" s="3"/>
      <c r="H128" s="3"/>
      <c r="I128" s="3"/>
    </row>
    <row r="129" spans="2:9" ht="13" x14ac:dyDescent="0.15">
      <c r="B129" s="3"/>
      <c r="C129" s="3"/>
      <c r="D129" s="3"/>
      <c r="E129" s="3"/>
      <c r="F129" s="3"/>
      <c r="G129" s="3"/>
      <c r="H129" s="3"/>
      <c r="I129" s="3"/>
    </row>
    <row r="130" spans="2:9" ht="13" x14ac:dyDescent="0.15">
      <c r="B130" s="3"/>
      <c r="C130" s="3"/>
      <c r="D130" s="3"/>
      <c r="E130" s="3"/>
      <c r="F130" s="3"/>
      <c r="G130" s="3"/>
      <c r="H130" s="3"/>
      <c r="I130" s="3"/>
    </row>
    <row r="131" spans="2:9" ht="13" x14ac:dyDescent="0.15">
      <c r="B131" s="3"/>
      <c r="C131" s="3"/>
      <c r="D131" s="3"/>
      <c r="E131" s="3"/>
      <c r="F131" s="3"/>
      <c r="G131" s="3"/>
      <c r="H131" s="3"/>
      <c r="I131" s="3"/>
    </row>
    <row r="132" spans="2:9" ht="13" x14ac:dyDescent="0.15">
      <c r="B132" s="3"/>
      <c r="C132" s="3"/>
      <c r="D132" s="3"/>
      <c r="E132" s="3"/>
      <c r="F132" s="3"/>
      <c r="G132" s="3"/>
      <c r="H132" s="3"/>
      <c r="I132" s="3"/>
    </row>
    <row r="133" spans="2:9" ht="13" x14ac:dyDescent="0.15">
      <c r="B133" s="3"/>
      <c r="C133" s="3"/>
      <c r="D133" s="3"/>
      <c r="E133" s="3"/>
      <c r="F133" s="3"/>
      <c r="G133" s="3"/>
      <c r="H133" s="3"/>
      <c r="I133" s="3"/>
    </row>
    <row r="134" spans="2:9" ht="13" x14ac:dyDescent="0.15">
      <c r="B134" s="3"/>
      <c r="C134" s="3"/>
      <c r="D134" s="3"/>
      <c r="E134" s="3"/>
      <c r="F134" s="3"/>
      <c r="G134" s="3"/>
      <c r="H134" s="3"/>
      <c r="I134" s="3"/>
    </row>
    <row r="135" spans="2:9" ht="13" x14ac:dyDescent="0.15">
      <c r="B135" s="3"/>
      <c r="C135" s="3"/>
      <c r="D135" s="3"/>
      <c r="E135" s="3"/>
      <c r="F135" s="3"/>
      <c r="G135" s="3"/>
      <c r="H135" s="3"/>
      <c r="I135" s="3"/>
    </row>
    <row r="136" spans="2:9" ht="13" x14ac:dyDescent="0.15">
      <c r="B136" s="3"/>
      <c r="C136" s="3"/>
      <c r="D136" s="3"/>
      <c r="E136" s="3"/>
      <c r="F136" s="3"/>
      <c r="G136" s="3"/>
      <c r="H136" s="3"/>
      <c r="I136" s="3"/>
    </row>
    <row r="137" spans="2:9" ht="13" x14ac:dyDescent="0.15">
      <c r="B137" s="3"/>
      <c r="C137" s="3"/>
      <c r="D137" s="3"/>
      <c r="E137" s="3"/>
      <c r="F137" s="3"/>
      <c r="G137" s="3"/>
      <c r="H137" s="3"/>
      <c r="I137" s="3"/>
    </row>
    <row r="138" spans="2:9" ht="13" x14ac:dyDescent="0.15">
      <c r="B138" s="3"/>
      <c r="C138" s="3"/>
      <c r="D138" s="3"/>
      <c r="E138" s="3"/>
      <c r="F138" s="3"/>
      <c r="G138" s="3"/>
      <c r="H138" s="3"/>
      <c r="I138" s="3"/>
    </row>
    <row r="139" spans="2:9" ht="13" x14ac:dyDescent="0.15">
      <c r="B139" s="3"/>
      <c r="C139" s="3"/>
      <c r="D139" s="3"/>
      <c r="E139" s="3"/>
      <c r="F139" s="3"/>
      <c r="G139" s="3"/>
      <c r="H139" s="3"/>
      <c r="I139" s="3"/>
    </row>
    <row r="140" spans="2:9" ht="13" x14ac:dyDescent="0.15">
      <c r="B140" s="3"/>
      <c r="C140" s="3"/>
      <c r="D140" s="3"/>
      <c r="E140" s="3"/>
      <c r="F140" s="3"/>
      <c r="G140" s="3"/>
      <c r="H140" s="3"/>
      <c r="I140" s="3"/>
    </row>
    <row r="141" spans="2:9" ht="13" x14ac:dyDescent="0.15">
      <c r="B141" s="3"/>
      <c r="C141" s="3"/>
      <c r="D141" s="3"/>
      <c r="E141" s="3"/>
      <c r="F141" s="3"/>
      <c r="G141" s="3"/>
      <c r="H141" s="3"/>
      <c r="I141" s="3"/>
    </row>
    <row r="142" spans="2:9" ht="13" x14ac:dyDescent="0.15">
      <c r="B142" s="3"/>
      <c r="C142" s="3"/>
      <c r="D142" s="3"/>
      <c r="E142" s="3"/>
      <c r="F142" s="3"/>
      <c r="G142" s="3"/>
      <c r="H142" s="3"/>
      <c r="I142" s="3"/>
    </row>
    <row r="143" spans="2:9" ht="13" x14ac:dyDescent="0.15">
      <c r="B143" s="3"/>
      <c r="C143" s="3"/>
      <c r="D143" s="3"/>
      <c r="E143" s="3"/>
      <c r="F143" s="3"/>
      <c r="G143" s="3"/>
      <c r="H143" s="3"/>
      <c r="I143" s="3"/>
    </row>
    <row r="144" spans="2:9" ht="13" x14ac:dyDescent="0.15">
      <c r="B144" s="3"/>
      <c r="C144" s="3"/>
      <c r="D144" s="3"/>
      <c r="E144" s="3"/>
      <c r="F144" s="3"/>
      <c r="G144" s="3"/>
      <c r="H144" s="3"/>
      <c r="I144" s="3"/>
    </row>
    <row r="145" spans="2:9" ht="13" x14ac:dyDescent="0.15">
      <c r="B145" s="3"/>
      <c r="C145" s="3"/>
      <c r="D145" s="3"/>
      <c r="E145" s="3"/>
      <c r="F145" s="3"/>
      <c r="G145" s="3"/>
      <c r="H145" s="3"/>
      <c r="I145" s="3"/>
    </row>
    <row r="146" spans="2:9" ht="13" x14ac:dyDescent="0.15">
      <c r="B146" s="3"/>
      <c r="C146" s="3"/>
      <c r="D146" s="3"/>
      <c r="E146" s="3"/>
      <c r="F146" s="3"/>
      <c r="G146" s="3"/>
      <c r="H146" s="3"/>
      <c r="I146" s="3"/>
    </row>
    <row r="147" spans="2:9" ht="13" x14ac:dyDescent="0.15">
      <c r="B147" s="3"/>
      <c r="C147" s="3"/>
      <c r="D147" s="3"/>
      <c r="E147" s="3"/>
      <c r="F147" s="3"/>
      <c r="G147" s="3"/>
      <c r="H147" s="3"/>
      <c r="I147" s="3"/>
    </row>
    <row r="148" spans="2:9" ht="13" x14ac:dyDescent="0.15">
      <c r="B148" s="3"/>
      <c r="C148" s="3"/>
      <c r="D148" s="3"/>
      <c r="E148" s="3"/>
      <c r="F148" s="3"/>
      <c r="G148" s="3"/>
      <c r="H148" s="3"/>
      <c r="I148" s="3"/>
    </row>
    <row r="149" spans="2:9" ht="13" x14ac:dyDescent="0.15">
      <c r="B149" s="3"/>
      <c r="C149" s="3"/>
      <c r="D149" s="3"/>
      <c r="E149" s="3"/>
      <c r="F149" s="3"/>
      <c r="G149" s="3"/>
      <c r="H149" s="3"/>
      <c r="I149" s="3"/>
    </row>
    <row r="150" spans="2:9" ht="13" x14ac:dyDescent="0.15">
      <c r="B150" s="3"/>
      <c r="C150" s="3"/>
      <c r="D150" s="3"/>
      <c r="E150" s="3"/>
      <c r="F150" s="3"/>
      <c r="G150" s="3"/>
      <c r="H150" s="3"/>
      <c r="I150" s="3"/>
    </row>
    <row r="151" spans="2:9" ht="13" x14ac:dyDescent="0.15">
      <c r="B151" s="3"/>
      <c r="C151" s="3"/>
      <c r="D151" s="3"/>
      <c r="E151" s="3"/>
      <c r="F151" s="3"/>
      <c r="G151" s="3"/>
      <c r="H151" s="3"/>
      <c r="I151" s="3"/>
    </row>
    <row r="152" spans="2:9" ht="13" x14ac:dyDescent="0.15">
      <c r="B152" s="3"/>
      <c r="C152" s="3"/>
      <c r="D152" s="3"/>
      <c r="E152" s="3"/>
      <c r="F152" s="3"/>
      <c r="G152" s="3"/>
      <c r="H152" s="3"/>
      <c r="I152" s="3"/>
    </row>
    <row r="153" spans="2:9" ht="13" x14ac:dyDescent="0.15">
      <c r="B153" s="3"/>
      <c r="C153" s="3"/>
      <c r="D153" s="3"/>
      <c r="E153" s="3"/>
      <c r="F153" s="3"/>
      <c r="G153" s="3"/>
      <c r="H153" s="3"/>
      <c r="I153" s="3"/>
    </row>
    <row r="154" spans="2:9" ht="13" x14ac:dyDescent="0.15">
      <c r="B154" s="3"/>
      <c r="C154" s="3"/>
      <c r="D154" s="3"/>
      <c r="E154" s="3"/>
      <c r="F154" s="3"/>
      <c r="G154" s="3"/>
      <c r="H154" s="3"/>
      <c r="I154" s="3"/>
    </row>
    <row r="155" spans="2:9" ht="13" x14ac:dyDescent="0.15">
      <c r="B155" s="3"/>
      <c r="C155" s="3"/>
      <c r="D155" s="3"/>
      <c r="E155" s="3"/>
      <c r="F155" s="3"/>
      <c r="G155" s="3"/>
      <c r="H155" s="3"/>
      <c r="I155" s="3"/>
    </row>
    <row r="156" spans="2:9" ht="13" x14ac:dyDescent="0.15">
      <c r="B156" s="3"/>
      <c r="C156" s="3"/>
      <c r="D156" s="3"/>
      <c r="E156" s="3"/>
      <c r="F156" s="3"/>
      <c r="G156" s="3"/>
      <c r="H156" s="3"/>
      <c r="I156" s="3"/>
    </row>
    <row r="157" spans="2:9" ht="13" x14ac:dyDescent="0.15">
      <c r="B157" s="3"/>
      <c r="C157" s="3"/>
      <c r="D157" s="3"/>
      <c r="E157" s="3"/>
      <c r="F157" s="3"/>
      <c r="G157" s="3"/>
      <c r="H157" s="3"/>
      <c r="I157" s="3"/>
    </row>
    <row r="158" spans="2:9" ht="13" x14ac:dyDescent="0.15">
      <c r="B158" s="3"/>
      <c r="C158" s="3"/>
      <c r="D158" s="3"/>
      <c r="E158" s="3"/>
      <c r="F158" s="3"/>
      <c r="G158" s="3"/>
      <c r="H158" s="3"/>
      <c r="I158" s="3"/>
    </row>
    <row r="159" spans="2:9" ht="13" x14ac:dyDescent="0.15">
      <c r="B159" s="3"/>
      <c r="C159" s="3"/>
      <c r="D159" s="3"/>
      <c r="E159" s="3"/>
      <c r="F159" s="3"/>
      <c r="G159" s="3"/>
      <c r="H159" s="3"/>
      <c r="I159" s="3"/>
    </row>
    <row r="160" spans="2:9" ht="13" x14ac:dyDescent="0.15">
      <c r="B160" s="3"/>
      <c r="C160" s="3"/>
      <c r="D160" s="3"/>
      <c r="E160" s="3"/>
      <c r="F160" s="3"/>
      <c r="G160" s="3"/>
      <c r="H160" s="3"/>
      <c r="I160" s="3"/>
    </row>
    <row r="161" spans="2:9" ht="13" x14ac:dyDescent="0.15">
      <c r="B161" s="3"/>
      <c r="C161" s="3"/>
      <c r="D161" s="3"/>
      <c r="E161" s="3"/>
      <c r="F161" s="3"/>
      <c r="G161" s="3"/>
      <c r="H161" s="3"/>
      <c r="I161" s="3"/>
    </row>
    <row r="162" spans="2:9" ht="13" x14ac:dyDescent="0.15">
      <c r="B162" s="3"/>
      <c r="C162" s="3"/>
      <c r="D162" s="3"/>
      <c r="E162" s="3"/>
      <c r="F162" s="3"/>
      <c r="G162" s="3"/>
      <c r="H162" s="3"/>
      <c r="I162" s="3"/>
    </row>
    <row r="163" spans="2:9" ht="13" x14ac:dyDescent="0.15">
      <c r="B163" s="3"/>
      <c r="C163" s="3"/>
      <c r="D163" s="3"/>
      <c r="E163" s="3"/>
      <c r="F163" s="3"/>
      <c r="G163" s="3"/>
      <c r="H163" s="3"/>
      <c r="I163" s="3"/>
    </row>
    <row r="164" spans="2:9" ht="13" x14ac:dyDescent="0.15">
      <c r="B164" s="3"/>
      <c r="C164" s="3"/>
      <c r="D164" s="3"/>
      <c r="E164" s="3"/>
      <c r="F164" s="3"/>
      <c r="G164" s="3"/>
      <c r="H164" s="3"/>
      <c r="I164" s="3"/>
    </row>
    <row r="165" spans="2:9" ht="13" x14ac:dyDescent="0.15">
      <c r="B165" s="3"/>
      <c r="C165" s="3"/>
      <c r="D165" s="3"/>
      <c r="E165" s="3"/>
      <c r="F165" s="3"/>
      <c r="G165" s="3"/>
      <c r="H165" s="3"/>
      <c r="I165" s="3"/>
    </row>
    <row r="166" spans="2:9" ht="13" x14ac:dyDescent="0.15">
      <c r="B166" s="3"/>
      <c r="C166" s="3"/>
      <c r="D166" s="3"/>
      <c r="E166" s="3"/>
      <c r="F166" s="3"/>
      <c r="G166" s="3"/>
      <c r="H166" s="3"/>
      <c r="I166" s="3"/>
    </row>
    <row r="167" spans="2:9" ht="13" x14ac:dyDescent="0.15">
      <c r="B167" s="3"/>
      <c r="C167" s="3"/>
      <c r="D167" s="3"/>
      <c r="E167" s="3"/>
      <c r="F167" s="3"/>
      <c r="G167" s="3"/>
      <c r="H167" s="3"/>
      <c r="I167" s="3"/>
    </row>
    <row r="168" spans="2:9" ht="13" x14ac:dyDescent="0.15">
      <c r="B168" s="3"/>
      <c r="C168" s="3"/>
      <c r="D168" s="3"/>
      <c r="E168" s="3"/>
      <c r="F168" s="3"/>
      <c r="G168" s="3"/>
      <c r="H168" s="3"/>
      <c r="I168" s="3"/>
    </row>
    <row r="169" spans="2:9" ht="13" x14ac:dyDescent="0.15">
      <c r="B169" s="3"/>
      <c r="C169" s="3"/>
      <c r="D169" s="3"/>
      <c r="E169" s="3"/>
      <c r="F169" s="3"/>
      <c r="G169" s="3"/>
      <c r="H169" s="3"/>
      <c r="I169" s="3"/>
    </row>
    <row r="170" spans="2:9" ht="13" x14ac:dyDescent="0.15">
      <c r="B170" s="3"/>
      <c r="C170" s="3"/>
      <c r="D170" s="3"/>
      <c r="E170" s="3"/>
      <c r="F170" s="3"/>
      <c r="G170" s="3"/>
      <c r="H170" s="3"/>
      <c r="I170" s="3"/>
    </row>
    <row r="171" spans="2:9" ht="13" x14ac:dyDescent="0.15">
      <c r="B171" s="3"/>
      <c r="C171" s="3"/>
      <c r="D171" s="3"/>
      <c r="E171" s="3"/>
      <c r="F171" s="3"/>
      <c r="G171" s="3"/>
      <c r="H171" s="3"/>
      <c r="I171" s="3"/>
    </row>
    <row r="172" spans="2:9" ht="13" x14ac:dyDescent="0.15">
      <c r="B172" s="3"/>
      <c r="C172" s="3"/>
      <c r="D172" s="3"/>
      <c r="E172" s="3"/>
      <c r="F172" s="3"/>
      <c r="G172" s="3"/>
      <c r="H172" s="3"/>
      <c r="I172" s="3"/>
    </row>
    <row r="173" spans="2:9" ht="13" x14ac:dyDescent="0.15">
      <c r="B173" s="3"/>
      <c r="C173" s="3"/>
      <c r="D173" s="3"/>
      <c r="E173" s="3"/>
      <c r="F173" s="3"/>
      <c r="G173" s="3"/>
      <c r="H173" s="3"/>
      <c r="I173" s="3"/>
    </row>
    <row r="174" spans="2:9" ht="13" x14ac:dyDescent="0.15">
      <c r="B174" s="3"/>
      <c r="C174" s="3"/>
      <c r="D174" s="3"/>
      <c r="E174" s="3"/>
      <c r="F174" s="3"/>
      <c r="G174" s="3"/>
      <c r="H174" s="3"/>
      <c r="I174" s="3"/>
    </row>
    <row r="175" spans="2:9" ht="13" x14ac:dyDescent="0.15">
      <c r="B175" s="3"/>
      <c r="C175" s="3"/>
      <c r="D175" s="3"/>
      <c r="E175" s="3"/>
      <c r="F175" s="3"/>
      <c r="G175" s="3"/>
      <c r="H175" s="3"/>
      <c r="I175" s="3"/>
    </row>
    <row r="176" spans="2:9" ht="13" x14ac:dyDescent="0.15">
      <c r="B176" s="3"/>
      <c r="C176" s="3"/>
      <c r="D176" s="3"/>
      <c r="E176" s="3"/>
      <c r="F176" s="3"/>
      <c r="G176" s="3"/>
      <c r="H176" s="3"/>
      <c r="I176" s="3"/>
    </row>
    <row r="177" spans="2:9" ht="13" x14ac:dyDescent="0.15">
      <c r="B177" s="3"/>
      <c r="C177" s="3"/>
      <c r="D177" s="3"/>
      <c r="E177" s="3"/>
      <c r="F177" s="3"/>
      <c r="G177" s="3"/>
      <c r="H177" s="3"/>
      <c r="I177" s="3"/>
    </row>
    <row r="178" spans="2:9" ht="13" x14ac:dyDescent="0.15">
      <c r="B178" s="3"/>
      <c r="C178" s="3"/>
      <c r="D178" s="3"/>
      <c r="E178" s="3"/>
      <c r="F178" s="3"/>
      <c r="G178" s="3"/>
      <c r="H178" s="3"/>
      <c r="I178" s="3"/>
    </row>
    <row r="179" spans="2:9" ht="13" x14ac:dyDescent="0.15">
      <c r="B179" s="3"/>
      <c r="C179" s="3"/>
      <c r="D179" s="3"/>
      <c r="E179" s="3"/>
      <c r="F179" s="3"/>
      <c r="G179" s="3"/>
      <c r="H179" s="3"/>
      <c r="I179" s="3"/>
    </row>
    <row r="180" spans="2:9" ht="13" x14ac:dyDescent="0.15">
      <c r="B180" s="3"/>
      <c r="C180" s="3"/>
      <c r="D180" s="3"/>
      <c r="E180" s="3"/>
      <c r="F180" s="3"/>
      <c r="G180" s="3"/>
      <c r="H180" s="3"/>
      <c r="I180" s="3"/>
    </row>
    <row r="181" spans="2:9" ht="13" x14ac:dyDescent="0.15">
      <c r="B181" s="3"/>
      <c r="C181" s="3"/>
      <c r="D181" s="3"/>
      <c r="E181" s="3"/>
      <c r="F181" s="3"/>
      <c r="G181" s="3"/>
      <c r="H181" s="3"/>
      <c r="I181" s="3"/>
    </row>
    <row r="182" spans="2:9" ht="13" x14ac:dyDescent="0.15">
      <c r="B182" s="3"/>
      <c r="C182" s="3"/>
      <c r="D182" s="3"/>
      <c r="E182" s="3"/>
      <c r="F182" s="3"/>
      <c r="G182" s="3"/>
      <c r="H182" s="3"/>
      <c r="I182" s="3"/>
    </row>
    <row r="183" spans="2:9" ht="13" x14ac:dyDescent="0.15">
      <c r="B183" s="3"/>
      <c r="C183" s="3"/>
      <c r="D183" s="3"/>
      <c r="E183" s="3"/>
      <c r="F183" s="3"/>
      <c r="G183" s="3"/>
      <c r="H183" s="3"/>
      <c r="I183" s="3"/>
    </row>
    <row r="184" spans="2:9" ht="13" x14ac:dyDescent="0.15">
      <c r="B184" s="3"/>
      <c r="C184" s="3"/>
      <c r="D184" s="3"/>
      <c r="E184" s="3"/>
      <c r="F184" s="3"/>
      <c r="G184" s="3"/>
      <c r="H184" s="3"/>
      <c r="I184" s="3"/>
    </row>
    <row r="185" spans="2:9" ht="13" x14ac:dyDescent="0.15">
      <c r="B185" s="3"/>
      <c r="C185" s="3"/>
      <c r="D185" s="3"/>
      <c r="E185" s="3"/>
      <c r="F185" s="3"/>
      <c r="G185" s="3"/>
      <c r="H185" s="3"/>
      <c r="I185" s="3"/>
    </row>
    <row r="186" spans="2:9" ht="13" x14ac:dyDescent="0.15">
      <c r="B186" s="3"/>
      <c r="C186" s="3"/>
      <c r="D186" s="3"/>
      <c r="E186" s="3"/>
      <c r="F186" s="3"/>
      <c r="G186" s="3"/>
      <c r="H186" s="3"/>
      <c r="I186" s="3"/>
    </row>
    <row r="187" spans="2:9" ht="13" x14ac:dyDescent="0.15">
      <c r="B187" s="3"/>
      <c r="C187" s="3"/>
      <c r="D187" s="3"/>
      <c r="E187" s="3"/>
      <c r="F187" s="3"/>
      <c r="G187" s="3"/>
      <c r="H187" s="3"/>
      <c r="I187" s="3"/>
    </row>
    <row r="188" spans="2:9" ht="13" x14ac:dyDescent="0.15">
      <c r="B188" s="3"/>
      <c r="C188" s="3"/>
      <c r="D188" s="3"/>
      <c r="E188" s="3"/>
      <c r="F188" s="3"/>
      <c r="G188" s="3"/>
      <c r="H188" s="3"/>
      <c r="I188" s="3"/>
    </row>
    <row r="189" spans="2:9" ht="13" x14ac:dyDescent="0.15">
      <c r="B189" s="3"/>
      <c r="C189" s="3"/>
      <c r="D189" s="3"/>
      <c r="E189" s="3"/>
      <c r="F189" s="3"/>
      <c r="G189" s="3"/>
      <c r="H189" s="3"/>
      <c r="I189" s="3"/>
    </row>
    <row r="190" spans="2:9" ht="13" x14ac:dyDescent="0.15">
      <c r="B190" s="3"/>
      <c r="C190" s="3"/>
      <c r="D190" s="3"/>
      <c r="E190" s="3"/>
      <c r="F190" s="3"/>
      <c r="G190" s="3"/>
      <c r="H190" s="3"/>
      <c r="I190" s="3"/>
    </row>
    <row r="191" spans="2:9" ht="13" x14ac:dyDescent="0.15">
      <c r="B191" s="3"/>
      <c r="C191" s="3"/>
      <c r="D191" s="3"/>
      <c r="E191" s="3"/>
      <c r="F191" s="3"/>
      <c r="G191" s="3"/>
      <c r="H191" s="3"/>
      <c r="I191" s="3"/>
    </row>
    <row r="192" spans="2:9" ht="13" x14ac:dyDescent="0.15">
      <c r="B192" s="3"/>
      <c r="C192" s="3"/>
      <c r="D192" s="3"/>
      <c r="E192" s="3"/>
      <c r="F192" s="3"/>
      <c r="G192" s="3"/>
      <c r="H192" s="3"/>
      <c r="I192" s="3"/>
    </row>
    <row r="193" spans="2:9" ht="13" x14ac:dyDescent="0.15">
      <c r="B193" s="3"/>
      <c r="C193" s="3"/>
      <c r="D193" s="3"/>
      <c r="E193" s="3"/>
      <c r="F193" s="3"/>
      <c r="G193" s="3"/>
      <c r="H193" s="3"/>
      <c r="I193" s="3"/>
    </row>
    <row r="194" spans="2:9" ht="13" x14ac:dyDescent="0.15">
      <c r="B194" s="3"/>
      <c r="C194" s="3"/>
      <c r="D194" s="3"/>
      <c r="E194" s="3"/>
      <c r="F194" s="3"/>
      <c r="G194" s="3"/>
      <c r="H194" s="3"/>
      <c r="I194" s="3"/>
    </row>
    <row r="195" spans="2:9" ht="13" x14ac:dyDescent="0.15">
      <c r="B195" s="3"/>
      <c r="C195" s="3"/>
      <c r="D195" s="3"/>
      <c r="E195" s="3"/>
      <c r="F195" s="3"/>
      <c r="G195" s="3"/>
      <c r="H195" s="3"/>
      <c r="I195" s="3"/>
    </row>
    <row r="196" spans="2:9" ht="13" x14ac:dyDescent="0.15">
      <c r="B196" s="3"/>
      <c r="C196" s="3"/>
      <c r="D196" s="3"/>
      <c r="E196" s="3"/>
      <c r="F196" s="3"/>
      <c r="G196" s="3"/>
      <c r="H196" s="3"/>
      <c r="I196" s="3"/>
    </row>
    <row r="197" spans="2:9" ht="13" x14ac:dyDescent="0.15">
      <c r="B197" s="3"/>
      <c r="C197" s="3"/>
      <c r="D197" s="3"/>
      <c r="E197" s="3"/>
      <c r="F197" s="3"/>
      <c r="G197" s="3"/>
      <c r="H197" s="3"/>
      <c r="I197" s="3"/>
    </row>
    <row r="198" spans="2:9" ht="13" x14ac:dyDescent="0.15">
      <c r="B198" s="3"/>
      <c r="C198" s="3"/>
      <c r="D198" s="3"/>
      <c r="E198" s="3"/>
      <c r="F198" s="3"/>
      <c r="G198" s="3"/>
      <c r="H198" s="3"/>
      <c r="I198" s="3"/>
    </row>
    <row r="199" spans="2:9" ht="13" x14ac:dyDescent="0.15">
      <c r="B199" s="3"/>
      <c r="C199" s="3"/>
      <c r="D199" s="3"/>
      <c r="E199" s="3"/>
      <c r="F199" s="3"/>
      <c r="G199" s="3"/>
      <c r="H199" s="3"/>
      <c r="I199" s="3"/>
    </row>
    <row r="200" spans="2:9" ht="13" x14ac:dyDescent="0.15">
      <c r="B200" s="3"/>
      <c r="C200" s="3"/>
      <c r="D200" s="3"/>
      <c r="E200" s="3"/>
      <c r="F200" s="3"/>
      <c r="G200" s="3"/>
      <c r="H200" s="3"/>
      <c r="I200" s="3"/>
    </row>
    <row r="201" spans="2:9" ht="13" x14ac:dyDescent="0.15">
      <c r="B201" s="3"/>
      <c r="C201" s="3"/>
      <c r="D201" s="3"/>
      <c r="E201" s="3"/>
      <c r="F201" s="3"/>
      <c r="G201" s="3"/>
      <c r="H201" s="3"/>
      <c r="I201" s="3"/>
    </row>
    <row r="202" spans="2:9" ht="13" x14ac:dyDescent="0.15">
      <c r="B202" s="3"/>
      <c r="C202" s="3"/>
      <c r="D202" s="3"/>
      <c r="E202" s="3"/>
      <c r="F202" s="3"/>
      <c r="G202" s="3"/>
      <c r="H202" s="3"/>
      <c r="I202" s="3"/>
    </row>
    <row r="203" spans="2:9" ht="13" x14ac:dyDescent="0.15">
      <c r="B203" s="3"/>
      <c r="C203" s="3"/>
      <c r="D203" s="3"/>
      <c r="E203" s="3"/>
      <c r="F203" s="3"/>
      <c r="G203" s="3"/>
      <c r="H203" s="3"/>
      <c r="I203" s="3"/>
    </row>
    <row r="204" spans="2:9" ht="13" x14ac:dyDescent="0.15">
      <c r="B204" s="3"/>
      <c r="C204" s="3"/>
      <c r="D204" s="3"/>
      <c r="E204" s="3"/>
      <c r="F204" s="3"/>
      <c r="G204" s="3"/>
      <c r="H204" s="3"/>
      <c r="I204" s="3"/>
    </row>
    <row r="205" spans="2:9" ht="13" x14ac:dyDescent="0.15">
      <c r="B205" s="3"/>
      <c r="C205" s="3"/>
      <c r="D205" s="3"/>
      <c r="E205" s="3"/>
      <c r="F205" s="3"/>
      <c r="G205" s="3"/>
      <c r="H205" s="3"/>
      <c r="I205" s="3"/>
    </row>
    <row r="206" spans="2:9" ht="13" x14ac:dyDescent="0.15">
      <c r="B206" s="3"/>
      <c r="C206" s="3"/>
      <c r="D206" s="3"/>
      <c r="E206" s="3"/>
      <c r="F206" s="3"/>
      <c r="G206" s="3"/>
      <c r="H206" s="3"/>
      <c r="I206" s="3"/>
    </row>
    <row r="207" spans="2:9" ht="13" x14ac:dyDescent="0.15">
      <c r="B207" s="3"/>
      <c r="C207" s="3"/>
      <c r="D207" s="3"/>
      <c r="E207" s="3"/>
      <c r="F207" s="3"/>
      <c r="G207" s="3"/>
      <c r="H207" s="3"/>
      <c r="I207" s="3"/>
    </row>
    <row r="208" spans="2:9" ht="13" x14ac:dyDescent="0.15">
      <c r="B208" s="3"/>
      <c r="C208" s="3"/>
      <c r="D208" s="3"/>
      <c r="E208" s="3"/>
      <c r="F208" s="3"/>
      <c r="G208" s="3"/>
      <c r="H208" s="3"/>
      <c r="I208" s="3"/>
    </row>
    <row r="209" spans="2:9" ht="13" x14ac:dyDescent="0.15">
      <c r="B209" s="3"/>
      <c r="C209" s="3"/>
      <c r="D209" s="3"/>
      <c r="E209" s="3"/>
      <c r="F209" s="3"/>
      <c r="G209" s="3"/>
      <c r="H209" s="3"/>
      <c r="I209" s="3"/>
    </row>
    <row r="210" spans="2:9" ht="13" x14ac:dyDescent="0.15">
      <c r="B210" s="3"/>
      <c r="C210" s="3"/>
      <c r="D210" s="3"/>
      <c r="E210" s="3"/>
      <c r="F210" s="3"/>
      <c r="G210" s="3"/>
      <c r="H210" s="3"/>
      <c r="I210" s="3"/>
    </row>
    <row r="211" spans="2:9" ht="13" x14ac:dyDescent="0.15">
      <c r="B211" s="3"/>
      <c r="C211" s="3"/>
      <c r="D211" s="3"/>
      <c r="E211" s="3"/>
      <c r="F211" s="3"/>
      <c r="G211" s="3"/>
      <c r="H211" s="3"/>
      <c r="I211" s="3"/>
    </row>
    <row r="212" spans="2:9" ht="13" x14ac:dyDescent="0.15">
      <c r="B212" s="3"/>
      <c r="C212" s="3"/>
      <c r="D212" s="3"/>
      <c r="E212" s="3"/>
      <c r="F212" s="3"/>
      <c r="G212" s="3"/>
      <c r="H212" s="3"/>
      <c r="I212" s="3"/>
    </row>
    <row r="213" spans="2:9" ht="13" x14ac:dyDescent="0.15">
      <c r="B213" s="3"/>
      <c r="C213" s="3"/>
      <c r="D213" s="3"/>
      <c r="E213" s="3"/>
      <c r="F213" s="3"/>
      <c r="G213" s="3"/>
      <c r="H213" s="3"/>
      <c r="I213" s="3"/>
    </row>
    <row r="214" spans="2:9" ht="13" x14ac:dyDescent="0.15">
      <c r="B214" s="3"/>
      <c r="C214" s="3"/>
      <c r="D214" s="3"/>
      <c r="E214" s="3"/>
      <c r="F214" s="3"/>
      <c r="G214" s="3"/>
      <c r="H214" s="3"/>
      <c r="I214" s="3"/>
    </row>
    <row r="215" spans="2:9" ht="13" x14ac:dyDescent="0.15">
      <c r="B215" s="3"/>
      <c r="C215" s="3"/>
      <c r="D215" s="3"/>
      <c r="E215" s="3"/>
      <c r="F215" s="3"/>
      <c r="G215" s="3"/>
      <c r="H215" s="3"/>
      <c r="I215" s="3"/>
    </row>
    <row r="216" spans="2:9" ht="13" x14ac:dyDescent="0.15">
      <c r="B216" s="3"/>
      <c r="C216" s="3"/>
      <c r="D216" s="3"/>
      <c r="E216" s="3"/>
      <c r="F216" s="3"/>
      <c r="G216" s="3"/>
      <c r="H216" s="3"/>
      <c r="I216" s="3"/>
    </row>
    <row r="217" spans="2:9" ht="13" x14ac:dyDescent="0.15">
      <c r="B217" s="3"/>
      <c r="C217" s="3"/>
      <c r="D217" s="3"/>
      <c r="E217" s="3"/>
      <c r="F217" s="3"/>
      <c r="G217" s="3"/>
      <c r="H217" s="3"/>
      <c r="I217" s="3"/>
    </row>
    <row r="218" spans="2:9" ht="13" x14ac:dyDescent="0.15">
      <c r="B218" s="3"/>
      <c r="C218" s="3"/>
      <c r="D218" s="3"/>
      <c r="E218" s="3"/>
      <c r="F218" s="3"/>
      <c r="G218" s="3"/>
      <c r="H218" s="3"/>
      <c r="I218" s="3"/>
    </row>
    <row r="219" spans="2:9" ht="13" x14ac:dyDescent="0.15">
      <c r="B219" s="3"/>
      <c r="C219" s="3"/>
      <c r="D219" s="3"/>
      <c r="E219" s="3"/>
      <c r="F219" s="3"/>
      <c r="G219" s="3"/>
      <c r="H219" s="3"/>
      <c r="I219" s="3"/>
    </row>
    <row r="220" spans="2:9" ht="13" x14ac:dyDescent="0.15">
      <c r="B220" s="3"/>
      <c r="C220" s="3"/>
      <c r="D220" s="3"/>
      <c r="E220" s="3"/>
      <c r="F220" s="3"/>
      <c r="G220" s="3"/>
      <c r="H220" s="3"/>
      <c r="I220" s="3"/>
    </row>
    <row r="221" spans="2:9" ht="13" x14ac:dyDescent="0.15">
      <c r="B221" s="3"/>
      <c r="C221" s="3"/>
      <c r="D221" s="3"/>
      <c r="E221" s="3"/>
      <c r="F221" s="3"/>
      <c r="G221" s="3"/>
      <c r="H221" s="3"/>
      <c r="I221" s="3"/>
    </row>
    <row r="222" spans="2:9" ht="13" x14ac:dyDescent="0.15">
      <c r="B222" s="3"/>
      <c r="C222" s="3"/>
      <c r="D222" s="3"/>
      <c r="E222" s="3"/>
      <c r="F222" s="3"/>
      <c r="G222" s="3"/>
      <c r="H222" s="3"/>
      <c r="I222" s="3"/>
    </row>
    <row r="223" spans="2:9" ht="13" x14ac:dyDescent="0.15">
      <c r="B223" s="3"/>
      <c r="C223" s="3"/>
      <c r="D223" s="3"/>
      <c r="E223" s="3"/>
      <c r="F223" s="3"/>
      <c r="G223" s="3"/>
      <c r="H223" s="3"/>
      <c r="I223" s="3"/>
    </row>
    <row r="224" spans="2:9" ht="13" x14ac:dyDescent="0.15">
      <c r="B224" s="3"/>
      <c r="C224" s="3"/>
      <c r="D224" s="3"/>
      <c r="E224" s="3"/>
      <c r="F224" s="3"/>
      <c r="G224" s="3"/>
      <c r="H224" s="3"/>
      <c r="I224" s="3"/>
    </row>
    <row r="225" spans="2:9" ht="13" x14ac:dyDescent="0.15">
      <c r="B225" s="3"/>
      <c r="C225" s="3"/>
      <c r="D225" s="3"/>
      <c r="E225" s="3"/>
      <c r="F225" s="3"/>
      <c r="G225" s="3"/>
      <c r="H225" s="3"/>
      <c r="I225" s="3"/>
    </row>
    <row r="226" spans="2:9" ht="13" x14ac:dyDescent="0.15">
      <c r="B226" s="3"/>
      <c r="C226" s="3"/>
      <c r="D226" s="3"/>
      <c r="E226" s="3"/>
      <c r="F226" s="3"/>
      <c r="G226" s="3"/>
      <c r="H226" s="3"/>
      <c r="I226" s="3"/>
    </row>
    <row r="227" spans="2:9" ht="13" x14ac:dyDescent="0.15">
      <c r="B227" s="3"/>
      <c r="C227" s="3"/>
      <c r="D227" s="3"/>
      <c r="E227" s="3"/>
      <c r="F227" s="3"/>
      <c r="G227" s="3"/>
      <c r="H227" s="3"/>
      <c r="I227" s="3"/>
    </row>
    <row r="228" spans="2:9" ht="13" x14ac:dyDescent="0.15">
      <c r="B228" s="3"/>
      <c r="C228" s="3"/>
      <c r="D228" s="3"/>
      <c r="E228" s="3"/>
      <c r="F228" s="3"/>
      <c r="G228" s="3"/>
      <c r="H228" s="3"/>
      <c r="I228" s="3"/>
    </row>
    <row r="229" spans="2:9" ht="13" x14ac:dyDescent="0.15">
      <c r="B229" s="3"/>
      <c r="C229" s="3"/>
      <c r="D229" s="3"/>
      <c r="E229" s="3"/>
      <c r="F229" s="3"/>
      <c r="G229" s="3"/>
      <c r="H229" s="3"/>
      <c r="I229" s="3"/>
    </row>
    <row r="230" spans="2:9" ht="13" x14ac:dyDescent="0.15">
      <c r="B230" s="3"/>
      <c r="C230" s="3"/>
      <c r="D230" s="3"/>
      <c r="E230" s="3"/>
      <c r="F230" s="3"/>
      <c r="G230" s="3"/>
      <c r="H230" s="3"/>
      <c r="I230" s="3"/>
    </row>
    <row r="231" spans="2:9" ht="13" x14ac:dyDescent="0.15">
      <c r="B231" s="3"/>
      <c r="C231" s="3"/>
      <c r="D231" s="3"/>
      <c r="E231" s="3"/>
      <c r="F231" s="3"/>
      <c r="G231" s="3"/>
      <c r="H231" s="3"/>
      <c r="I231" s="3"/>
    </row>
    <row r="232" spans="2:9" ht="13" x14ac:dyDescent="0.15">
      <c r="B232" s="3"/>
      <c r="C232" s="3"/>
      <c r="D232" s="3"/>
      <c r="E232" s="3"/>
      <c r="F232" s="3"/>
      <c r="G232" s="3"/>
      <c r="H232" s="3"/>
      <c r="I232" s="3"/>
    </row>
    <row r="233" spans="2:9" ht="13" x14ac:dyDescent="0.15">
      <c r="B233" s="3"/>
      <c r="C233" s="3"/>
      <c r="D233" s="3"/>
      <c r="E233" s="3"/>
      <c r="F233" s="3"/>
      <c r="G233" s="3"/>
      <c r="H233" s="3"/>
      <c r="I233" s="3"/>
    </row>
    <row r="234" spans="2:9" ht="13" x14ac:dyDescent="0.15">
      <c r="B234" s="3"/>
      <c r="C234" s="3"/>
      <c r="D234" s="3"/>
      <c r="E234" s="3"/>
      <c r="F234" s="3"/>
      <c r="G234" s="3"/>
      <c r="H234" s="3"/>
      <c r="I234" s="3"/>
    </row>
    <row r="235" spans="2:9" ht="13" x14ac:dyDescent="0.15">
      <c r="B235" s="3"/>
      <c r="C235" s="3"/>
      <c r="D235" s="3"/>
      <c r="E235" s="3"/>
      <c r="F235" s="3"/>
      <c r="G235" s="3"/>
      <c r="H235" s="3"/>
      <c r="I235" s="3"/>
    </row>
    <row r="236" spans="2:9" ht="13" x14ac:dyDescent="0.15">
      <c r="B236" s="3"/>
      <c r="C236" s="3"/>
      <c r="D236" s="3"/>
      <c r="E236" s="3"/>
      <c r="F236" s="3"/>
      <c r="G236" s="3"/>
      <c r="H236" s="3"/>
      <c r="I236" s="3"/>
    </row>
    <row r="237" spans="2:9" ht="13" x14ac:dyDescent="0.15">
      <c r="B237" s="3"/>
      <c r="C237" s="3"/>
      <c r="D237" s="3"/>
      <c r="E237" s="3"/>
      <c r="F237" s="3"/>
      <c r="G237" s="3"/>
      <c r="H237" s="3"/>
      <c r="I237" s="3"/>
    </row>
    <row r="238" spans="2:9" ht="13" x14ac:dyDescent="0.15">
      <c r="B238" s="3"/>
      <c r="C238" s="3"/>
      <c r="D238" s="3"/>
      <c r="E238" s="3"/>
      <c r="F238" s="3"/>
      <c r="G238" s="3"/>
      <c r="H238" s="3"/>
      <c r="I238" s="3"/>
    </row>
    <row r="239" spans="2:9" ht="13" x14ac:dyDescent="0.15">
      <c r="B239" s="3"/>
      <c r="C239" s="3"/>
      <c r="D239" s="3"/>
      <c r="E239" s="3"/>
      <c r="F239" s="3"/>
      <c r="G239" s="3"/>
      <c r="H239" s="3"/>
      <c r="I239" s="3"/>
    </row>
    <row r="240" spans="2:9" ht="13" x14ac:dyDescent="0.15">
      <c r="B240" s="3"/>
      <c r="C240" s="3"/>
      <c r="D240" s="3"/>
      <c r="E240" s="3"/>
      <c r="F240" s="3"/>
      <c r="G240" s="3"/>
      <c r="H240" s="3"/>
      <c r="I240" s="3"/>
    </row>
    <row r="241" spans="2:9" ht="13" x14ac:dyDescent="0.15">
      <c r="B241" s="3"/>
      <c r="C241" s="3"/>
      <c r="D241" s="3"/>
      <c r="E241" s="3"/>
      <c r="F241" s="3"/>
      <c r="G241" s="3"/>
      <c r="H241" s="3"/>
      <c r="I241" s="3"/>
    </row>
    <row r="242" spans="2:9" ht="13" x14ac:dyDescent="0.15">
      <c r="B242" s="3"/>
      <c r="C242" s="3"/>
      <c r="D242" s="3"/>
      <c r="E242" s="3"/>
      <c r="F242" s="3"/>
      <c r="G242" s="3"/>
      <c r="H242" s="3"/>
      <c r="I242" s="3"/>
    </row>
    <row r="243" spans="2:9" ht="13" x14ac:dyDescent="0.15">
      <c r="B243" s="3"/>
      <c r="C243" s="3"/>
      <c r="D243" s="3"/>
      <c r="E243" s="3"/>
      <c r="F243" s="3"/>
      <c r="G243" s="3"/>
      <c r="H243" s="3"/>
      <c r="I243" s="3"/>
    </row>
    <row r="244" spans="2:9" ht="13" x14ac:dyDescent="0.15">
      <c r="B244" s="3"/>
      <c r="C244" s="3"/>
      <c r="D244" s="3"/>
      <c r="E244" s="3"/>
      <c r="F244" s="3"/>
      <c r="G244" s="3"/>
      <c r="H244" s="3"/>
      <c r="I244" s="3"/>
    </row>
    <row r="245" spans="2:9" ht="13" x14ac:dyDescent="0.15">
      <c r="B245" s="3"/>
      <c r="C245" s="3"/>
      <c r="D245" s="3"/>
      <c r="E245" s="3"/>
      <c r="F245" s="3"/>
      <c r="G245" s="3"/>
      <c r="H245" s="3"/>
      <c r="I245" s="3"/>
    </row>
    <row r="246" spans="2:9" ht="13" x14ac:dyDescent="0.15">
      <c r="B246" s="3"/>
      <c r="C246" s="3"/>
      <c r="D246" s="3"/>
      <c r="E246" s="3"/>
      <c r="F246" s="3"/>
      <c r="G246" s="3"/>
      <c r="H246" s="3"/>
      <c r="I246" s="3"/>
    </row>
    <row r="247" spans="2:9" ht="13" x14ac:dyDescent="0.15">
      <c r="B247" s="3"/>
      <c r="C247" s="3"/>
      <c r="D247" s="3"/>
      <c r="E247" s="3"/>
      <c r="F247" s="3"/>
      <c r="G247" s="3"/>
      <c r="H247" s="3"/>
      <c r="I247" s="3"/>
    </row>
    <row r="248" spans="2:9" ht="13" x14ac:dyDescent="0.15">
      <c r="B248" s="3"/>
      <c r="C248" s="3"/>
      <c r="D248" s="3"/>
      <c r="E248" s="3"/>
      <c r="F248" s="3"/>
      <c r="G248" s="3"/>
      <c r="H248" s="3"/>
      <c r="I248" s="3"/>
    </row>
    <row r="249" spans="2:9" ht="13" x14ac:dyDescent="0.15">
      <c r="B249" s="3"/>
      <c r="C249" s="3"/>
      <c r="D249" s="3"/>
      <c r="E249" s="3"/>
      <c r="F249" s="3"/>
      <c r="G249" s="3"/>
      <c r="H249" s="3"/>
      <c r="I249" s="3"/>
    </row>
    <row r="250" spans="2:9" ht="13" x14ac:dyDescent="0.15">
      <c r="B250" s="3"/>
      <c r="C250" s="3"/>
      <c r="D250" s="3"/>
      <c r="E250" s="3"/>
      <c r="F250" s="3"/>
      <c r="G250" s="3"/>
      <c r="H250" s="3"/>
      <c r="I250" s="3"/>
    </row>
    <row r="251" spans="2:9" ht="13" x14ac:dyDescent="0.15">
      <c r="B251" s="3"/>
      <c r="C251" s="3"/>
      <c r="D251" s="3"/>
      <c r="E251" s="3"/>
      <c r="F251" s="3"/>
      <c r="G251" s="3"/>
      <c r="H251" s="3"/>
      <c r="I251" s="3"/>
    </row>
    <row r="252" spans="2:9" ht="13" x14ac:dyDescent="0.15">
      <c r="B252" s="3"/>
      <c r="C252" s="3"/>
      <c r="D252" s="3"/>
      <c r="E252" s="3"/>
      <c r="F252" s="3"/>
      <c r="G252" s="3"/>
      <c r="H252" s="3"/>
      <c r="I252" s="3"/>
    </row>
    <row r="253" spans="2:9" ht="13" x14ac:dyDescent="0.15">
      <c r="B253" s="3"/>
      <c r="C253" s="3"/>
      <c r="D253" s="3"/>
      <c r="E253" s="3"/>
      <c r="F253" s="3"/>
      <c r="G253" s="3"/>
      <c r="H253" s="3"/>
      <c r="I253" s="3"/>
    </row>
    <row r="254" spans="2:9" ht="13" x14ac:dyDescent="0.15">
      <c r="B254" s="3"/>
      <c r="C254" s="3"/>
      <c r="D254" s="3"/>
      <c r="E254" s="3"/>
      <c r="F254" s="3"/>
      <c r="G254" s="3"/>
      <c r="H254" s="3"/>
      <c r="I254" s="3"/>
    </row>
    <row r="255" spans="2:9" ht="13" x14ac:dyDescent="0.15">
      <c r="B255" s="3"/>
      <c r="C255" s="3"/>
      <c r="D255" s="3"/>
      <c r="E255" s="3"/>
      <c r="F255" s="3"/>
      <c r="G255" s="3"/>
      <c r="H255" s="3"/>
      <c r="I255" s="3"/>
    </row>
    <row r="256" spans="2:9" ht="13" x14ac:dyDescent="0.15">
      <c r="B256" s="3"/>
      <c r="C256" s="3"/>
      <c r="D256" s="3"/>
      <c r="E256" s="3"/>
      <c r="F256" s="3"/>
      <c r="G256" s="3"/>
      <c r="H256" s="3"/>
      <c r="I256" s="3"/>
    </row>
    <row r="257" spans="2:9" ht="13" x14ac:dyDescent="0.15">
      <c r="B257" s="3"/>
      <c r="C257" s="3"/>
      <c r="D257" s="3"/>
      <c r="E257" s="3"/>
      <c r="F257" s="3"/>
      <c r="G257" s="3"/>
      <c r="H257" s="3"/>
      <c r="I257" s="3"/>
    </row>
    <row r="258" spans="2:9" ht="13" x14ac:dyDescent="0.15">
      <c r="B258" s="3"/>
      <c r="C258" s="3"/>
      <c r="D258" s="3"/>
      <c r="E258" s="3"/>
      <c r="F258" s="3"/>
      <c r="G258" s="3"/>
      <c r="H258" s="3"/>
      <c r="I258" s="3"/>
    </row>
    <row r="259" spans="2:9" ht="13" x14ac:dyDescent="0.15">
      <c r="B259" s="3"/>
      <c r="C259" s="3"/>
      <c r="D259" s="3"/>
      <c r="E259" s="3"/>
      <c r="F259" s="3"/>
      <c r="G259" s="3"/>
      <c r="H259" s="3"/>
      <c r="I259" s="3"/>
    </row>
    <row r="260" spans="2:9" ht="13" x14ac:dyDescent="0.15">
      <c r="B260" s="3"/>
      <c r="C260" s="3"/>
      <c r="D260" s="3"/>
      <c r="E260" s="3"/>
      <c r="F260" s="3"/>
      <c r="G260" s="3"/>
      <c r="H260" s="3"/>
      <c r="I260" s="3"/>
    </row>
    <row r="261" spans="2:9" ht="13" x14ac:dyDescent="0.15">
      <c r="B261" s="3"/>
      <c r="C261" s="3"/>
      <c r="D261" s="3"/>
      <c r="E261" s="3"/>
      <c r="F261" s="3"/>
      <c r="G261" s="3"/>
      <c r="H261" s="3"/>
      <c r="I261" s="3"/>
    </row>
    <row r="262" spans="2:9" ht="13" x14ac:dyDescent="0.15">
      <c r="B262" s="3"/>
      <c r="C262" s="3"/>
      <c r="D262" s="3"/>
      <c r="E262" s="3"/>
      <c r="F262" s="3"/>
      <c r="G262" s="3"/>
      <c r="H262" s="3"/>
      <c r="I262" s="3"/>
    </row>
    <row r="263" spans="2:9" ht="13" x14ac:dyDescent="0.15">
      <c r="B263" s="3"/>
      <c r="C263" s="3"/>
      <c r="D263" s="3"/>
      <c r="E263" s="3"/>
      <c r="F263" s="3"/>
      <c r="G263" s="3"/>
      <c r="H263" s="3"/>
      <c r="I263" s="3"/>
    </row>
    <row r="264" spans="2:9" ht="13" x14ac:dyDescent="0.15">
      <c r="B264" s="3"/>
      <c r="C264" s="3"/>
      <c r="D264" s="3"/>
      <c r="E264" s="3"/>
      <c r="F264" s="3"/>
      <c r="G264" s="3"/>
      <c r="H264" s="3"/>
      <c r="I264" s="3"/>
    </row>
    <row r="265" spans="2:9" ht="13" x14ac:dyDescent="0.15">
      <c r="B265" s="3"/>
      <c r="C265" s="3"/>
      <c r="D265" s="3"/>
      <c r="E265" s="3"/>
      <c r="F265" s="3"/>
      <c r="G265" s="3"/>
      <c r="H265" s="3"/>
      <c r="I265" s="3"/>
    </row>
    <row r="266" spans="2:9" ht="13" x14ac:dyDescent="0.15">
      <c r="B266" s="3"/>
      <c r="C266" s="3"/>
      <c r="D266" s="3"/>
      <c r="E266" s="3"/>
      <c r="F266" s="3"/>
      <c r="G266" s="3"/>
      <c r="H266" s="3"/>
      <c r="I266" s="3"/>
    </row>
    <row r="267" spans="2:9" ht="13" x14ac:dyDescent="0.15">
      <c r="B267" s="3"/>
      <c r="C267" s="3"/>
      <c r="D267" s="3"/>
      <c r="E267" s="3"/>
      <c r="F267" s="3"/>
      <c r="G267" s="3"/>
      <c r="H267" s="3"/>
      <c r="I267" s="3"/>
    </row>
    <row r="268" spans="2:9" ht="13" x14ac:dyDescent="0.15">
      <c r="B268" s="3"/>
      <c r="C268" s="3"/>
      <c r="D268" s="3"/>
      <c r="E268" s="3"/>
      <c r="F268" s="3"/>
      <c r="G268" s="3"/>
      <c r="H268" s="3"/>
      <c r="I268" s="3"/>
    </row>
    <row r="269" spans="2:9" ht="13" x14ac:dyDescent="0.15">
      <c r="B269" s="3"/>
      <c r="C269" s="3"/>
      <c r="D269" s="3"/>
      <c r="E269" s="3"/>
      <c r="F269" s="3"/>
      <c r="G269" s="3"/>
      <c r="H269" s="3"/>
      <c r="I269" s="3"/>
    </row>
    <row r="270" spans="2:9" ht="13" x14ac:dyDescent="0.15">
      <c r="B270" s="3"/>
      <c r="C270" s="3"/>
      <c r="D270" s="3"/>
      <c r="E270" s="3"/>
      <c r="F270" s="3"/>
      <c r="G270" s="3"/>
      <c r="H270" s="3"/>
      <c r="I270" s="3"/>
    </row>
    <row r="271" spans="2:9" ht="13" x14ac:dyDescent="0.15">
      <c r="B271" s="3"/>
      <c r="C271" s="3"/>
      <c r="D271" s="3"/>
      <c r="E271" s="3"/>
      <c r="F271" s="3"/>
      <c r="G271" s="3"/>
      <c r="H271" s="3"/>
      <c r="I271" s="3"/>
    </row>
    <row r="272" spans="2:9" ht="13" x14ac:dyDescent="0.15">
      <c r="B272" s="3"/>
      <c r="C272" s="3"/>
      <c r="D272" s="3"/>
      <c r="E272" s="3"/>
      <c r="F272" s="3"/>
      <c r="G272" s="3"/>
      <c r="H272" s="3"/>
      <c r="I272" s="3"/>
    </row>
    <row r="273" spans="2:9" ht="13" x14ac:dyDescent="0.15">
      <c r="B273" s="3"/>
      <c r="C273" s="3"/>
      <c r="D273" s="3"/>
      <c r="E273" s="3"/>
      <c r="F273" s="3"/>
      <c r="G273" s="3"/>
      <c r="H273" s="3"/>
      <c r="I273" s="3"/>
    </row>
    <row r="274" spans="2:9" ht="13" x14ac:dyDescent="0.15">
      <c r="B274" s="3"/>
      <c r="C274" s="3"/>
      <c r="D274" s="3"/>
      <c r="E274" s="3"/>
      <c r="F274" s="3"/>
      <c r="G274" s="3"/>
      <c r="H274" s="3"/>
      <c r="I274" s="3"/>
    </row>
    <row r="275" spans="2:9" ht="13" x14ac:dyDescent="0.15">
      <c r="B275" s="3"/>
      <c r="C275" s="3"/>
      <c r="D275" s="3"/>
      <c r="E275" s="3"/>
      <c r="F275" s="3"/>
      <c r="G275" s="3"/>
      <c r="H275" s="3"/>
      <c r="I275" s="3"/>
    </row>
    <row r="276" spans="2:9" ht="13" x14ac:dyDescent="0.15">
      <c r="B276" s="3"/>
      <c r="C276" s="3"/>
      <c r="D276" s="3"/>
      <c r="E276" s="3"/>
      <c r="F276" s="3"/>
      <c r="G276" s="3"/>
      <c r="H276" s="3"/>
      <c r="I276" s="3"/>
    </row>
    <row r="277" spans="2:9" ht="13" x14ac:dyDescent="0.15">
      <c r="B277" s="3"/>
      <c r="C277" s="3"/>
      <c r="D277" s="3"/>
      <c r="E277" s="3"/>
      <c r="F277" s="3"/>
      <c r="G277" s="3"/>
      <c r="H277" s="3"/>
      <c r="I277" s="3"/>
    </row>
    <row r="278" spans="2:9" ht="13" x14ac:dyDescent="0.15">
      <c r="B278" s="3"/>
      <c r="C278" s="3"/>
      <c r="D278" s="3"/>
      <c r="E278" s="3"/>
      <c r="F278" s="3"/>
      <c r="G278" s="3"/>
      <c r="H278" s="3"/>
      <c r="I278" s="3"/>
    </row>
    <row r="279" spans="2:9" ht="13" x14ac:dyDescent="0.15">
      <c r="B279" s="3"/>
      <c r="C279" s="3"/>
      <c r="D279" s="3"/>
      <c r="E279" s="3"/>
      <c r="F279" s="3"/>
      <c r="G279" s="3"/>
      <c r="H279" s="3"/>
      <c r="I279" s="3"/>
    </row>
    <row r="280" spans="2:9" ht="13" x14ac:dyDescent="0.15">
      <c r="B280" s="3"/>
      <c r="C280" s="3"/>
      <c r="D280" s="3"/>
      <c r="E280" s="3"/>
      <c r="F280" s="3"/>
      <c r="G280" s="3"/>
      <c r="H280" s="3"/>
      <c r="I280" s="3"/>
    </row>
    <row r="281" spans="2:9" ht="13" x14ac:dyDescent="0.15">
      <c r="B281" s="3"/>
      <c r="C281" s="3"/>
      <c r="D281" s="3"/>
      <c r="E281" s="3"/>
      <c r="F281" s="3"/>
      <c r="G281" s="3"/>
      <c r="H281" s="3"/>
      <c r="I281" s="3"/>
    </row>
    <row r="282" spans="2:9" ht="13" x14ac:dyDescent="0.15">
      <c r="B282" s="3"/>
      <c r="C282" s="3"/>
      <c r="D282" s="3"/>
      <c r="E282" s="3"/>
      <c r="F282" s="3"/>
      <c r="G282" s="3"/>
      <c r="H282" s="3"/>
      <c r="I282" s="3"/>
    </row>
    <row r="283" spans="2:9" ht="13" x14ac:dyDescent="0.15">
      <c r="B283" s="3"/>
      <c r="C283" s="3"/>
      <c r="D283" s="3"/>
      <c r="E283" s="3"/>
      <c r="F283" s="3"/>
      <c r="G283" s="3"/>
      <c r="H283" s="3"/>
      <c r="I283" s="3"/>
    </row>
    <row r="284" spans="2:9" ht="13" x14ac:dyDescent="0.15">
      <c r="B284" s="3"/>
      <c r="C284" s="3"/>
      <c r="D284" s="3"/>
      <c r="E284" s="3"/>
      <c r="F284" s="3"/>
      <c r="G284" s="3"/>
      <c r="H284" s="3"/>
      <c r="I284" s="3"/>
    </row>
    <row r="285" spans="2:9" ht="13" x14ac:dyDescent="0.15">
      <c r="B285" s="3"/>
      <c r="C285" s="3"/>
      <c r="D285" s="3"/>
      <c r="E285" s="3"/>
      <c r="F285" s="3"/>
      <c r="G285" s="3"/>
      <c r="H285" s="3"/>
      <c r="I285" s="3"/>
    </row>
    <row r="286" spans="2:9" ht="13" x14ac:dyDescent="0.15">
      <c r="B286" s="3"/>
      <c r="C286" s="3"/>
      <c r="D286" s="3"/>
      <c r="E286" s="3"/>
      <c r="F286" s="3"/>
      <c r="G286" s="3"/>
      <c r="H286" s="3"/>
      <c r="I286" s="3"/>
    </row>
    <row r="287" spans="2:9" ht="13" x14ac:dyDescent="0.15">
      <c r="B287" s="3"/>
      <c r="C287" s="3"/>
      <c r="D287" s="3"/>
      <c r="E287" s="3"/>
      <c r="F287" s="3"/>
      <c r="G287" s="3"/>
      <c r="H287" s="3"/>
      <c r="I287" s="3"/>
    </row>
    <row r="288" spans="2:9" ht="13" x14ac:dyDescent="0.15">
      <c r="B288" s="3"/>
      <c r="C288" s="3"/>
      <c r="D288" s="3"/>
      <c r="E288" s="3"/>
      <c r="F288" s="3"/>
      <c r="G288" s="3"/>
      <c r="H288" s="3"/>
      <c r="I288" s="3"/>
    </row>
    <row r="289" spans="2:9" ht="13" x14ac:dyDescent="0.15">
      <c r="B289" s="3"/>
      <c r="C289" s="3"/>
      <c r="D289" s="3"/>
      <c r="E289" s="3"/>
      <c r="F289" s="3"/>
      <c r="G289" s="3"/>
      <c r="H289" s="3"/>
      <c r="I289" s="3"/>
    </row>
    <row r="290" spans="2:9" ht="13" x14ac:dyDescent="0.15">
      <c r="B290" s="3"/>
      <c r="C290" s="3"/>
      <c r="D290" s="3"/>
      <c r="E290" s="3"/>
      <c r="F290" s="3"/>
      <c r="G290" s="3"/>
      <c r="H290" s="3"/>
      <c r="I290" s="3"/>
    </row>
    <row r="291" spans="2:9" ht="13" x14ac:dyDescent="0.15">
      <c r="B291" s="3"/>
      <c r="C291" s="3"/>
      <c r="D291" s="3"/>
      <c r="E291" s="3"/>
      <c r="F291" s="3"/>
      <c r="G291" s="3"/>
      <c r="H291" s="3"/>
      <c r="I291" s="3"/>
    </row>
    <row r="292" spans="2:9" ht="13" x14ac:dyDescent="0.15">
      <c r="B292" s="3"/>
      <c r="C292" s="3"/>
      <c r="D292" s="3"/>
      <c r="E292" s="3"/>
      <c r="F292" s="3"/>
      <c r="G292" s="3"/>
      <c r="H292" s="3"/>
      <c r="I292" s="3"/>
    </row>
    <row r="293" spans="2:9" ht="13" x14ac:dyDescent="0.15">
      <c r="B293" s="3"/>
      <c r="C293" s="3"/>
      <c r="D293" s="3"/>
      <c r="E293" s="3"/>
      <c r="F293" s="3"/>
      <c r="G293" s="3"/>
      <c r="H293" s="3"/>
      <c r="I293" s="3"/>
    </row>
    <row r="294" spans="2:9" ht="13" x14ac:dyDescent="0.15">
      <c r="B294" s="3"/>
      <c r="C294" s="3"/>
      <c r="D294" s="3"/>
      <c r="E294" s="3"/>
      <c r="F294" s="3"/>
      <c r="G294" s="3"/>
      <c r="H294" s="3"/>
      <c r="I294" s="3"/>
    </row>
    <row r="295" spans="2:9" ht="13" x14ac:dyDescent="0.15">
      <c r="B295" s="3"/>
      <c r="C295" s="3"/>
      <c r="D295" s="3"/>
      <c r="E295" s="3"/>
      <c r="F295" s="3"/>
      <c r="G295" s="3"/>
      <c r="H295" s="3"/>
      <c r="I295" s="3"/>
    </row>
    <row r="296" spans="2:9" ht="13" x14ac:dyDescent="0.15">
      <c r="B296" s="3"/>
      <c r="C296" s="3"/>
      <c r="D296" s="3"/>
      <c r="E296" s="3"/>
      <c r="F296" s="3"/>
      <c r="G296" s="3"/>
      <c r="H296" s="3"/>
      <c r="I296" s="3"/>
    </row>
    <row r="297" spans="2:9" ht="13" x14ac:dyDescent="0.15">
      <c r="B297" s="3"/>
      <c r="C297" s="3"/>
      <c r="D297" s="3"/>
      <c r="E297" s="3"/>
      <c r="F297" s="3"/>
      <c r="G297" s="3"/>
      <c r="H297" s="3"/>
      <c r="I297" s="3"/>
    </row>
    <row r="298" spans="2:9" ht="13" x14ac:dyDescent="0.15">
      <c r="B298" s="3"/>
      <c r="C298" s="3"/>
      <c r="D298" s="3"/>
      <c r="E298" s="3"/>
      <c r="F298" s="3"/>
      <c r="G298" s="3"/>
      <c r="H298" s="3"/>
      <c r="I298" s="3"/>
    </row>
    <row r="299" spans="2:9" ht="13" x14ac:dyDescent="0.15">
      <c r="B299" s="3"/>
      <c r="C299" s="3"/>
      <c r="D299" s="3"/>
      <c r="E299" s="3"/>
      <c r="F299" s="3"/>
      <c r="G299" s="3"/>
      <c r="H299" s="3"/>
      <c r="I299" s="3"/>
    </row>
    <row r="300" spans="2:9" ht="13" x14ac:dyDescent="0.15">
      <c r="B300" s="3"/>
      <c r="C300" s="3"/>
      <c r="D300" s="3"/>
      <c r="E300" s="3"/>
      <c r="F300" s="3"/>
      <c r="G300" s="3"/>
      <c r="H300" s="3"/>
      <c r="I300" s="3"/>
    </row>
    <row r="301" spans="2:9" ht="13" x14ac:dyDescent="0.15">
      <c r="B301" s="3"/>
      <c r="C301" s="3"/>
      <c r="D301" s="3"/>
      <c r="E301" s="3"/>
      <c r="F301" s="3"/>
      <c r="G301" s="3"/>
      <c r="H301" s="3"/>
      <c r="I301" s="3"/>
    </row>
    <row r="302" spans="2:9" ht="13" x14ac:dyDescent="0.15">
      <c r="B302" s="3"/>
      <c r="C302" s="3"/>
      <c r="D302" s="3"/>
      <c r="E302" s="3"/>
      <c r="F302" s="3"/>
      <c r="G302" s="3"/>
      <c r="H302" s="3"/>
      <c r="I302" s="3"/>
    </row>
    <row r="303" spans="2:9" ht="13" x14ac:dyDescent="0.15">
      <c r="B303" s="3"/>
      <c r="C303" s="3"/>
      <c r="D303" s="3"/>
      <c r="E303" s="3"/>
      <c r="F303" s="3"/>
      <c r="G303" s="3"/>
      <c r="H303" s="3"/>
      <c r="I303" s="3"/>
    </row>
    <row r="304" spans="2:9" ht="13" x14ac:dyDescent="0.15">
      <c r="B304" s="3"/>
      <c r="C304" s="3"/>
      <c r="D304" s="3"/>
      <c r="E304" s="3"/>
      <c r="F304" s="3"/>
      <c r="G304" s="3"/>
      <c r="H304" s="3"/>
      <c r="I304" s="3"/>
    </row>
    <row r="305" spans="2:9" ht="13" x14ac:dyDescent="0.15">
      <c r="B305" s="3"/>
      <c r="C305" s="3"/>
      <c r="D305" s="3"/>
      <c r="E305" s="3"/>
      <c r="F305" s="3"/>
      <c r="G305" s="3"/>
      <c r="H305" s="3"/>
      <c r="I305" s="3"/>
    </row>
    <row r="306" spans="2:9" ht="13" x14ac:dyDescent="0.15">
      <c r="B306" s="3"/>
      <c r="C306" s="3"/>
      <c r="D306" s="3"/>
      <c r="E306" s="3"/>
      <c r="F306" s="3"/>
      <c r="G306" s="3"/>
      <c r="H306" s="3"/>
      <c r="I306" s="3"/>
    </row>
    <row r="307" spans="2:9" ht="13" x14ac:dyDescent="0.15">
      <c r="B307" s="3"/>
      <c r="C307" s="3"/>
      <c r="D307" s="3"/>
      <c r="E307" s="3"/>
      <c r="F307" s="3"/>
      <c r="G307" s="3"/>
      <c r="H307" s="3"/>
      <c r="I307" s="3"/>
    </row>
    <row r="308" spans="2:9" ht="13" x14ac:dyDescent="0.15">
      <c r="B308" s="3"/>
      <c r="C308" s="3"/>
      <c r="D308" s="3"/>
      <c r="E308" s="3"/>
      <c r="F308" s="3"/>
      <c r="G308" s="3"/>
      <c r="H308" s="3"/>
      <c r="I308" s="3"/>
    </row>
    <row r="309" spans="2:9" ht="13" x14ac:dyDescent="0.15">
      <c r="B309" s="3"/>
      <c r="C309" s="3"/>
      <c r="D309" s="3"/>
      <c r="E309" s="3"/>
      <c r="F309" s="3"/>
      <c r="G309" s="3"/>
      <c r="H309" s="3"/>
      <c r="I309" s="3"/>
    </row>
    <row r="310" spans="2:9" ht="13" x14ac:dyDescent="0.15">
      <c r="B310" s="3"/>
      <c r="C310" s="3"/>
      <c r="D310" s="3"/>
      <c r="E310" s="3"/>
      <c r="F310" s="3"/>
      <c r="G310" s="3"/>
      <c r="H310" s="3"/>
      <c r="I310" s="3"/>
    </row>
    <row r="311" spans="2:9" ht="13" x14ac:dyDescent="0.15">
      <c r="B311" s="3"/>
      <c r="C311" s="3"/>
      <c r="D311" s="3"/>
      <c r="E311" s="3"/>
      <c r="F311" s="3"/>
      <c r="G311" s="3"/>
      <c r="H311" s="3"/>
      <c r="I311" s="3"/>
    </row>
    <row r="312" spans="2:9" ht="13" x14ac:dyDescent="0.15">
      <c r="B312" s="3"/>
      <c r="C312" s="3"/>
      <c r="D312" s="3"/>
      <c r="E312" s="3"/>
      <c r="F312" s="3"/>
      <c r="G312" s="3"/>
      <c r="H312" s="3"/>
      <c r="I312" s="3"/>
    </row>
    <row r="313" spans="2:9" ht="13" x14ac:dyDescent="0.15">
      <c r="B313" s="3"/>
      <c r="C313" s="3"/>
      <c r="D313" s="3"/>
      <c r="E313" s="3"/>
      <c r="F313" s="3"/>
      <c r="G313" s="3"/>
      <c r="H313" s="3"/>
      <c r="I313" s="3"/>
    </row>
    <row r="314" spans="2:9" ht="13" x14ac:dyDescent="0.15">
      <c r="B314" s="3"/>
      <c r="C314" s="3"/>
      <c r="D314" s="3"/>
      <c r="E314" s="3"/>
      <c r="F314" s="3"/>
      <c r="G314" s="3"/>
      <c r="H314" s="3"/>
      <c r="I314" s="3"/>
    </row>
    <row r="315" spans="2:9" ht="13" x14ac:dyDescent="0.15">
      <c r="B315" s="3"/>
      <c r="C315" s="3"/>
      <c r="D315" s="3"/>
      <c r="E315" s="3"/>
      <c r="F315" s="3"/>
      <c r="G315" s="3"/>
      <c r="H315" s="3"/>
      <c r="I315" s="3"/>
    </row>
    <row r="316" spans="2:9" ht="13" x14ac:dyDescent="0.15">
      <c r="B316" s="3"/>
      <c r="C316" s="3"/>
      <c r="D316" s="3"/>
      <c r="E316" s="3"/>
      <c r="F316" s="3"/>
      <c r="G316" s="3"/>
      <c r="H316" s="3"/>
      <c r="I316" s="3"/>
    </row>
    <row r="317" spans="2:9" ht="13" x14ac:dyDescent="0.15">
      <c r="B317" s="3"/>
      <c r="C317" s="3"/>
      <c r="D317" s="3"/>
      <c r="E317" s="3"/>
      <c r="F317" s="3"/>
      <c r="G317" s="3"/>
      <c r="H317" s="3"/>
      <c r="I317" s="3"/>
    </row>
    <row r="318" spans="2:9" ht="13" x14ac:dyDescent="0.15">
      <c r="B318" s="3"/>
      <c r="C318" s="3"/>
      <c r="D318" s="3"/>
      <c r="E318" s="3"/>
      <c r="F318" s="3"/>
      <c r="G318" s="3"/>
      <c r="H318" s="3"/>
      <c r="I318" s="3"/>
    </row>
    <row r="319" spans="2:9" ht="13" x14ac:dyDescent="0.15">
      <c r="B319" s="3"/>
      <c r="C319" s="3"/>
      <c r="D319" s="3"/>
      <c r="E319" s="3"/>
      <c r="F319" s="3"/>
      <c r="G319" s="3"/>
      <c r="H319" s="3"/>
      <c r="I319" s="3"/>
    </row>
    <row r="320" spans="2:9" ht="13" x14ac:dyDescent="0.15">
      <c r="B320" s="3"/>
      <c r="C320" s="3"/>
      <c r="D320" s="3"/>
      <c r="E320" s="3"/>
      <c r="F320" s="3"/>
      <c r="G320" s="3"/>
      <c r="H320" s="3"/>
      <c r="I320" s="3"/>
    </row>
    <row r="321" spans="2:9" ht="13" x14ac:dyDescent="0.15">
      <c r="B321" s="3"/>
      <c r="C321" s="3"/>
      <c r="D321" s="3"/>
      <c r="E321" s="3"/>
      <c r="F321" s="3"/>
      <c r="G321" s="3"/>
      <c r="H321" s="3"/>
      <c r="I321" s="3"/>
    </row>
    <row r="322" spans="2:9" ht="13" x14ac:dyDescent="0.15">
      <c r="B322" s="3"/>
      <c r="C322" s="3"/>
      <c r="D322" s="3"/>
      <c r="E322" s="3"/>
      <c r="F322" s="3"/>
      <c r="G322" s="3"/>
      <c r="H322" s="3"/>
      <c r="I322" s="3"/>
    </row>
    <row r="323" spans="2:9" ht="13" x14ac:dyDescent="0.15">
      <c r="B323" s="3"/>
      <c r="C323" s="3"/>
      <c r="D323" s="3"/>
      <c r="E323" s="3"/>
      <c r="F323" s="3"/>
      <c r="G323" s="3"/>
      <c r="H323" s="3"/>
      <c r="I323" s="3"/>
    </row>
    <row r="324" spans="2:9" ht="13" x14ac:dyDescent="0.15">
      <c r="B324" s="3"/>
      <c r="C324" s="3"/>
      <c r="D324" s="3"/>
      <c r="E324" s="3"/>
      <c r="F324" s="3"/>
      <c r="G324" s="3"/>
      <c r="H324" s="3"/>
      <c r="I324" s="3"/>
    </row>
    <row r="325" spans="2:9" ht="13" x14ac:dyDescent="0.15">
      <c r="B325" s="3"/>
      <c r="C325" s="3"/>
      <c r="D325" s="3"/>
      <c r="E325" s="3"/>
      <c r="F325" s="3"/>
      <c r="G325" s="3"/>
      <c r="H325" s="3"/>
      <c r="I325" s="3"/>
    </row>
    <row r="326" spans="2:9" ht="13" x14ac:dyDescent="0.15">
      <c r="B326" s="3"/>
      <c r="C326" s="3"/>
      <c r="D326" s="3"/>
      <c r="E326" s="3"/>
      <c r="F326" s="3"/>
      <c r="G326" s="3"/>
      <c r="H326" s="3"/>
      <c r="I326" s="3"/>
    </row>
    <row r="327" spans="2:9" ht="13" x14ac:dyDescent="0.15">
      <c r="B327" s="3"/>
      <c r="C327" s="3"/>
      <c r="D327" s="3"/>
      <c r="E327" s="3"/>
      <c r="F327" s="3"/>
      <c r="G327" s="3"/>
      <c r="H327" s="3"/>
      <c r="I327" s="3"/>
    </row>
    <row r="328" spans="2:9" ht="13" x14ac:dyDescent="0.15">
      <c r="B328" s="3"/>
      <c r="C328" s="3"/>
      <c r="D328" s="3"/>
      <c r="E328" s="3"/>
      <c r="F328" s="3"/>
      <c r="G328" s="3"/>
      <c r="H328" s="3"/>
      <c r="I328" s="3"/>
    </row>
    <row r="329" spans="2:9" ht="13" x14ac:dyDescent="0.15">
      <c r="B329" s="3"/>
      <c r="C329" s="3"/>
      <c r="D329" s="3"/>
      <c r="E329" s="3"/>
      <c r="F329" s="3"/>
      <c r="G329" s="3"/>
      <c r="H329" s="3"/>
      <c r="I329" s="3"/>
    </row>
    <row r="330" spans="2:9" ht="13" x14ac:dyDescent="0.15">
      <c r="B330" s="3"/>
      <c r="C330" s="3"/>
      <c r="D330" s="3"/>
      <c r="E330" s="3"/>
      <c r="F330" s="3"/>
      <c r="G330" s="3"/>
      <c r="H330" s="3"/>
      <c r="I330" s="3"/>
    </row>
    <row r="331" spans="2:9" ht="13" x14ac:dyDescent="0.15">
      <c r="B331" s="3"/>
      <c r="C331" s="3"/>
      <c r="D331" s="3"/>
      <c r="E331" s="3"/>
      <c r="F331" s="3"/>
      <c r="G331" s="3"/>
      <c r="H331" s="3"/>
      <c r="I331" s="3"/>
    </row>
    <row r="332" spans="2:9" ht="13" x14ac:dyDescent="0.15">
      <c r="B332" s="3"/>
      <c r="C332" s="3"/>
      <c r="D332" s="3"/>
      <c r="E332" s="3"/>
      <c r="F332" s="3"/>
      <c r="G332" s="3"/>
      <c r="H332" s="3"/>
      <c r="I332" s="3"/>
    </row>
    <row r="333" spans="2:9" ht="13" x14ac:dyDescent="0.15">
      <c r="B333" s="3"/>
      <c r="C333" s="3"/>
      <c r="D333" s="3"/>
      <c r="E333" s="3"/>
      <c r="F333" s="3"/>
      <c r="G333" s="3"/>
      <c r="H333" s="3"/>
      <c r="I333" s="3"/>
    </row>
    <row r="334" spans="2:9" ht="13" x14ac:dyDescent="0.15">
      <c r="B334" s="3"/>
      <c r="C334" s="3"/>
      <c r="D334" s="3"/>
      <c r="E334" s="3"/>
      <c r="F334" s="3"/>
      <c r="G334" s="3"/>
      <c r="H334" s="3"/>
      <c r="I334" s="3"/>
    </row>
    <row r="335" spans="2:9" ht="13" x14ac:dyDescent="0.15">
      <c r="B335" s="3"/>
      <c r="C335" s="3"/>
      <c r="D335" s="3"/>
      <c r="E335" s="3"/>
      <c r="F335" s="3"/>
      <c r="G335" s="3"/>
      <c r="H335" s="3"/>
      <c r="I335" s="3"/>
    </row>
    <row r="336" spans="2:9" ht="13" x14ac:dyDescent="0.15">
      <c r="B336" s="3"/>
      <c r="C336" s="3"/>
      <c r="D336" s="3"/>
      <c r="E336" s="3"/>
      <c r="F336" s="3"/>
      <c r="G336" s="3"/>
      <c r="H336" s="3"/>
      <c r="I336" s="3"/>
    </row>
    <row r="337" spans="2:9" ht="13" x14ac:dyDescent="0.15">
      <c r="B337" s="3"/>
      <c r="C337" s="3"/>
      <c r="D337" s="3"/>
      <c r="E337" s="3"/>
      <c r="F337" s="3"/>
      <c r="G337" s="3"/>
      <c r="H337" s="3"/>
      <c r="I337" s="3"/>
    </row>
    <row r="338" spans="2:9" ht="13" x14ac:dyDescent="0.15">
      <c r="B338" s="3"/>
      <c r="C338" s="3"/>
      <c r="D338" s="3"/>
      <c r="E338" s="3"/>
      <c r="F338" s="3"/>
      <c r="G338" s="3"/>
      <c r="H338" s="3"/>
      <c r="I338" s="3"/>
    </row>
    <row r="339" spans="2:9" ht="13" x14ac:dyDescent="0.15">
      <c r="B339" s="3"/>
      <c r="C339" s="3"/>
      <c r="D339" s="3"/>
      <c r="E339" s="3"/>
      <c r="F339" s="3"/>
      <c r="G339" s="3"/>
      <c r="H339" s="3"/>
      <c r="I339" s="3"/>
    </row>
    <row r="340" spans="2:9" ht="13" x14ac:dyDescent="0.15">
      <c r="B340" s="3"/>
      <c r="C340" s="3"/>
      <c r="D340" s="3"/>
      <c r="E340" s="3"/>
      <c r="F340" s="3"/>
      <c r="G340" s="3"/>
      <c r="H340" s="3"/>
      <c r="I340" s="3"/>
    </row>
    <row r="341" spans="2:9" ht="13" x14ac:dyDescent="0.15">
      <c r="B341" s="3"/>
      <c r="C341" s="3"/>
      <c r="D341" s="3"/>
      <c r="E341" s="3"/>
      <c r="F341" s="3"/>
      <c r="G341" s="3"/>
      <c r="H341" s="3"/>
      <c r="I341" s="3"/>
    </row>
    <row r="342" spans="2:9" ht="13" x14ac:dyDescent="0.15">
      <c r="B342" s="3"/>
      <c r="C342" s="3"/>
      <c r="D342" s="3"/>
      <c r="E342" s="3"/>
      <c r="F342" s="3"/>
      <c r="G342" s="3"/>
      <c r="H342" s="3"/>
      <c r="I342" s="3"/>
    </row>
    <row r="343" spans="2:9" ht="13" x14ac:dyDescent="0.15">
      <c r="B343" s="3"/>
      <c r="C343" s="3"/>
      <c r="D343" s="3"/>
      <c r="E343" s="3"/>
      <c r="F343" s="3"/>
      <c r="G343" s="3"/>
      <c r="H343" s="3"/>
      <c r="I343" s="3"/>
    </row>
    <row r="344" spans="2:9" ht="13" x14ac:dyDescent="0.15">
      <c r="B344" s="3"/>
      <c r="C344" s="3"/>
      <c r="D344" s="3"/>
      <c r="E344" s="3"/>
      <c r="F344" s="3"/>
      <c r="G344" s="3"/>
      <c r="H344" s="3"/>
      <c r="I344" s="3"/>
    </row>
    <row r="345" spans="2:9" ht="13" x14ac:dyDescent="0.15">
      <c r="B345" s="3"/>
      <c r="C345" s="3"/>
      <c r="D345" s="3"/>
      <c r="E345" s="3"/>
      <c r="F345" s="3"/>
      <c r="G345" s="3"/>
      <c r="H345" s="3"/>
      <c r="I345" s="3"/>
    </row>
    <row r="346" spans="2:9" ht="13" x14ac:dyDescent="0.15">
      <c r="B346" s="3"/>
      <c r="C346" s="3"/>
      <c r="D346" s="3"/>
      <c r="E346" s="3"/>
      <c r="F346" s="3"/>
      <c r="G346" s="3"/>
      <c r="H346" s="3"/>
      <c r="I346" s="3"/>
    </row>
    <row r="347" spans="2:9" ht="13" x14ac:dyDescent="0.15">
      <c r="B347" s="3"/>
      <c r="C347" s="3"/>
      <c r="D347" s="3"/>
      <c r="E347" s="3"/>
      <c r="F347" s="3"/>
      <c r="G347" s="3"/>
      <c r="H347" s="3"/>
      <c r="I347" s="3"/>
    </row>
    <row r="348" spans="2:9" ht="13" x14ac:dyDescent="0.15">
      <c r="B348" s="3"/>
      <c r="C348" s="3"/>
      <c r="D348" s="3"/>
      <c r="E348" s="3"/>
      <c r="F348" s="3"/>
      <c r="G348" s="3"/>
      <c r="H348" s="3"/>
      <c r="I348" s="3"/>
    </row>
    <row r="349" spans="2:9" ht="13" x14ac:dyDescent="0.15">
      <c r="B349" s="3"/>
      <c r="C349" s="3"/>
      <c r="D349" s="3"/>
      <c r="E349" s="3"/>
      <c r="F349" s="3"/>
      <c r="G349" s="3"/>
      <c r="H349" s="3"/>
      <c r="I349" s="3"/>
    </row>
    <row r="350" spans="2:9" ht="13" x14ac:dyDescent="0.15">
      <c r="B350" s="3"/>
      <c r="C350" s="3"/>
      <c r="D350" s="3"/>
      <c r="E350" s="3"/>
      <c r="F350" s="3"/>
      <c r="G350" s="3"/>
      <c r="H350" s="3"/>
      <c r="I350" s="3"/>
    </row>
    <row r="351" spans="2:9" ht="13" x14ac:dyDescent="0.15">
      <c r="B351" s="3"/>
      <c r="C351" s="3"/>
      <c r="D351" s="3"/>
      <c r="E351" s="3"/>
      <c r="F351" s="3"/>
      <c r="G351" s="3"/>
      <c r="H351" s="3"/>
      <c r="I351" s="3"/>
    </row>
    <row r="352" spans="2:9" ht="13" x14ac:dyDescent="0.15">
      <c r="B352" s="3"/>
      <c r="C352" s="3"/>
      <c r="D352" s="3"/>
      <c r="E352" s="3"/>
      <c r="F352" s="3"/>
      <c r="G352" s="3"/>
      <c r="H352" s="3"/>
      <c r="I352" s="3"/>
    </row>
    <row r="353" spans="2:9" ht="13" x14ac:dyDescent="0.15">
      <c r="B353" s="3"/>
      <c r="C353" s="3"/>
      <c r="D353" s="3"/>
      <c r="E353" s="3"/>
      <c r="F353" s="3"/>
      <c r="G353" s="3"/>
      <c r="H353" s="3"/>
      <c r="I353" s="3"/>
    </row>
    <row r="354" spans="2:9" ht="13" x14ac:dyDescent="0.15">
      <c r="B354" s="3"/>
      <c r="C354" s="3"/>
      <c r="D354" s="3"/>
      <c r="E354" s="3"/>
      <c r="F354" s="3"/>
      <c r="G354" s="3"/>
      <c r="H354" s="3"/>
      <c r="I354" s="3"/>
    </row>
    <row r="355" spans="2:9" ht="13" x14ac:dyDescent="0.15">
      <c r="B355" s="3"/>
      <c r="C355" s="3"/>
      <c r="D355" s="3"/>
      <c r="E355" s="3"/>
      <c r="F355" s="3"/>
      <c r="G355" s="3"/>
      <c r="H355" s="3"/>
      <c r="I355" s="3"/>
    </row>
    <row r="356" spans="2:9" ht="13" x14ac:dyDescent="0.15">
      <c r="B356" s="3"/>
      <c r="C356" s="3"/>
      <c r="D356" s="3"/>
      <c r="E356" s="3"/>
      <c r="F356" s="3"/>
      <c r="G356" s="3"/>
      <c r="H356" s="3"/>
      <c r="I356" s="3"/>
    </row>
    <row r="357" spans="2:9" ht="13" x14ac:dyDescent="0.15">
      <c r="B357" s="3"/>
      <c r="C357" s="3"/>
      <c r="D357" s="3"/>
      <c r="E357" s="3"/>
      <c r="F357" s="3"/>
      <c r="G357" s="3"/>
      <c r="H357" s="3"/>
      <c r="I357" s="3"/>
    </row>
    <row r="358" spans="2:9" ht="13" x14ac:dyDescent="0.15">
      <c r="B358" s="3"/>
      <c r="C358" s="3"/>
      <c r="D358" s="3"/>
      <c r="E358" s="3"/>
      <c r="F358" s="3"/>
      <c r="G358" s="3"/>
      <c r="H358" s="3"/>
      <c r="I358" s="3"/>
    </row>
    <row r="359" spans="2:9" ht="13" x14ac:dyDescent="0.15">
      <c r="B359" s="3"/>
      <c r="C359" s="3"/>
      <c r="D359" s="3"/>
      <c r="E359" s="3"/>
      <c r="F359" s="3"/>
      <c r="G359" s="3"/>
      <c r="H359" s="3"/>
      <c r="I359" s="3"/>
    </row>
    <row r="360" spans="2:9" ht="13" x14ac:dyDescent="0.15">
      <c r="B360" s="3"/>
      <c r="C360" s="3"/>
      <c r="D360" s="3"/>
      <c r="E360" s="3"/>
      <c r="F360" s="3"/>
      <c r="G360" s="3"/>
      <c r="H360" s="3"/>
      <c r="I360" s="3"/>
    </row>
    <row r="361" spans="2:9" ht="13" x14ac:dyDescent="0.15">
      <c r="B361" s="3"/>
      <c r="C361" s="3"/>
      <c r="D361" s="3"/>
      <c r="E361" s="3"/>
      <c r="F361" s="3"/>
      <c r="G361" s="3"/>
      <c r="H361" s="3"/>
      <c r="I361" s="3"/>
    </row>
    <row r="362" spans="2:9" ht="13" x14ac:dyDescent="0.15">
      <c r="B362" s="3"/>
      <c r="C362" s="3"/>
      <c r="D362" s="3"/>
      <c r="E362" s="3"/>
      <c r="F362" s="3"/>
      <c r="G362" s="3"/>
      <c r="H362" s="3"/>
      <c r="I362" s="3"/>
    </row>
    <row r="363" spans="2:9" ht="13" x14ac:dyDescent="0.15">
      <c r="B363" s="3"/>
      <c r="C363" s="3"/>
      <c r="D363" s="3"/>
      <c r="E363" s="3"/>
      <c r="F363" s="3"/>
      <c r="G363" s="3"/>
      <c r="H363" s="3"/>
      <c r="I363" s="3"/>
    </row>
    <row r="364" spans="2:9" ht="13" x14ac:dyDescent="0.15">
      <c r="B364" s="3"/>
      <c r="C364" s="3"/>
      <c r="D364" s="3"/>
      <c r="E364" s="3"/>
      <c r="F364" s="3"/>
      <c r="G364" s="3"/>
      <c r="H364" s="3"/>
      <c r="I364" s="3"/>
    </row>
    <row r="365" spans="2:9" ht="13" x14ac:dyDescent="0.15">
      <c r="B365" s="3"/>
      <c r="C365" s="3"/>
      <c r="D365" s="3"/>
      <c r="E365" s="3"/>
      <c r="F365" s="3"/>
      <c r="G365" s="3"/>
      <c r="H365" s="3"/>
      <c r="I365" s="3"/>
    </row>
    <row r="366" spans="2:9" ht="13" x14ac:dyDescent="0.15">
      <c r="B366" s="3"/>
      <c r="C366" s="3"/>
      <c r="D366" s="3"/>
      <c r="E366" s="3"/>
      <c r="F366" s="3"/>
      <c r="G366" s="3"/>
      <c r="H366" s="3"/>
      <c r="I366" s="3"/>
    </row>
    <row r="367" spans="2:9" ht="13" x14ac:dyDescent="0.15">
      <c r="B367" s="3"/>
      <c r="C367" s="3"/>
      <c r="D367" s="3"/>
      <c r="E367" s="3"/>
      <c r="F367" s="3"/>
      <c r="G367" s="3"/>
      <c r="H367" s="3"/>
      <c r="I367" s="3"/>
    </row>
    <row r="368" spans="2:9" ht="13" x14ac:dyDescent="0.15">
      <c r="B368" s="3"/>
      <c r="C368" s="3"/>
      <c r="D368" s="3"/>
      <c r="E368" s="3"/>
      <c r="F368" s="3"/>
      <c r="G368" s="3"/>
      <c r="H368" s="3"/>
      <c r="I368" s="3"/>
    </row>
    <row r="369" spans="2:9" ht="13" x14ac:dyDescent="0.15">
      <c r="B369" s="3"/>
      <c r="C369" s="3"/>
      <c r="D369" s="3"/>
      <c r="E369" s="3"/>
      <c r="F369" s="3"/>
      <c r="G369" s="3"/>
      <c r="H369" s="3"/>
      <c r="I369" s="3"/>
    </row>
    <row r="370" spans="2:9" ht="13" x14ac:dyDescent="0.15">
      <c r="B370" s="3"/>
      <c r="C370" s="3"/>
      <c r="D370" s="3"/>
      <c r="E370" s="3"/>
      <c r="F370" s="3"/>
      <c r="G370" s="3"/>
      <c r="H370" s="3"/>
      <c r="I370" s="3"/>
    </row>
    <row r="371" spans="2:9" ht="13" x14ac:dyDescent="0.15">
      <c r="B371" s="3"/>
      <c r="C371" s="3"/>
      <c r="D371" s="3"/>
      <c r="E371" s="3"/>
      <c r="F371" s="3"/>
      <c r="G371" s="3"/>
      <c r="H371" s="3"/>
      <c r="I371" s="3"/>
    </row>
    <row r="372" spans="2:9" ht="13" x14ac:dyDescent="0.15">
      <c r="B372" s="3"/>
      <c r="C372" s="3"/>
      <c r="D372" s="3"/>
      <c r="E372" s="3"/>
      <c r="F372" s="3"/>
      <c r="G372" s="3"/>
      <c r="H372" s="3"/>
      <c r="I372" s="3"/>
    </row>
    <row r="373" spans="2:9" ht="13" x14ac:dyDescent="0.15">
      <c r="B373" s="3"/>
      <c r="C373" s="3"/>
      <c r="D373" s="3"/>
      <c r="E373" s="3"/>
      <c r="F373" s="3"/>
      <c r="G373" s="3"/>
      <c r="H373" s="3"/>
      <c r="I373" s="3"/>
    </row>
    <row r="374" spans="2:9" ht="13" x14ac:dyDescent="0.15">
      <c r="B374" s="3"/>
      <c r="C374" s="3"/>
      <c r="D374" s="3"/>
      <c r="E374" s="3"/>
      <c r="F374" s="3"/>
      <c r="G374" s="3"/>
      <c r="H374" s="3"/>
      <c r="I374" s="3"/>
    </row>
    <row r="375" spans="2:9" ht="13" x14ac:dyDescent="0.15">
      <c r="B375" s="3"/>
      <c r="C375" s="3"/>
      <c r="D375" s="3"/>
      <c r="E375" s="3"/>
      <c r="F375" s="3"/>
      <c r="G375" s="3"/>
      <c r="H375" s="3"/>
      <c r="I375" s="3"/>
    </row>
    <row r="376" spans="2:9" ht="13" x14ac:dyDescent="0.15">
      <c r="B376" s="3"/>
      <c r="C376" s="3"/>
      <c r="D376" s="3"/>
      <c r="E376" s="3"/>
      <c r="F376" s="3"/>
      <c r="G376" s="3"/>
      <c r="H376" s="3"/>
      <c r="I376" s="3"/>
    </row>
    <row r="377" spans="2:9" ht="13" x14ac:dyDescent="0.15">
      <c r="B377" s="3"/>
      <c r="C377" s="3"/>
      <c r="D377" s="3"/>
      <c r="E377" s="3"/>
      <c r="F377" s="3"/>
      <c r="G377" s="3"/>
      <c r="H377" s="3"/>
      <c r="I377" s="3"/>
    </row>
    <row r="378" spans="2:9" ht="13" x14ac:dyDescent="0.15">
      <c r="B378" s="3"/>
      <c r="C378" s="3"/>
      <c r="D378" s="3"/>
      <c r="E378" s="3"/>
      <c r="F378" s="3"/>
      <c r="G378" s="3"/>
      <c r="H378" s="3"/>
      <c r="I378" s="3"/>
    </row>
    <row r="379" spans="2:9" ht="13" x14ac:dyDescent="0.15">
      <c r="B379" s="3"/>
      <c r="C379" s="3"/>
      <c r="D379" s="3"/>
      <c r="E379" s="3"/>
      <c r="F379" s="3"/>
      <c r="G379" s="3"/>
      <c r="H379" s="3"/>
      <c r="I379" s="3"/>
    </row>
    <row r="380" spans="2:9" ht="13" x14ac:dyDescent="0.15">
      <c r="B380" s="3"/>
      <c r="C380" s="3"/>
      <c r="D380" s="3"/>
      <c r="E380" s="3"/>
      <c r="F380" s="3"/>
      <c r="G380" s="3"/>
      <c r="H380" s="3"/>
      <c r="I380" s="3"/>
    </row>
    <row r="381" spans="2:9" ht="13" x14ac:dyDescent="0.15">
      <c r="B381" s="3"/>
      <c r="C381" s="3"/>
      <c r="D381" s="3"/>
      <c r="E381" s="3"/>
      <c r="F381" s="3"/>
      <c r="G381" s="3"/>
      <c r="H381" s="3"/>
      <c r="I381" s="3"/>
    </row>
    <row r="382" spans="2:9" ht="13" x14ac:dyDescent="0.15">
      <c r="B382" s="3"/>
      <c r="C382" s="3"/>
      <c r="D382" s="3"/>
      <c r="E382" s="3"/>
      <c r="F382" s="3"/>
      <c r="G382" s="3"/>
      <c r="H382" s="3"/>
      <c r="I382" s="3"/>
    </row>
    <row r="383" spans="2:9" ht="13" x14ac:dyDescent="0.15">
      <c r="B383" s="3"/>
      <c r="C383" s="3"/>
      <c r="D383" s="3"/>
      <c r="E383" s="3"/>
      <c r="F383" s="3"/>
      <c r="G383" s="3"/>
      <c r="H383" s="3"/>
      <c r="I383" s="3"/>
    </row>
    <row r="384" spans="2:9" ht="13" x14ac:dyDescent="0.15">
      <c r="B384" s="3"/>
      <c r="C384" s="3"/>
      <c r="D384" s="3"/>
      <c r="E384" s="3"/>
      <c r="F384" s="3"/>
      <c r="G384" s="3"/>
      <c r="H384" s="3"/>
      <c r="I384" s="3"/>
    </row>
    <row r="385" spans="2:9" ht="13" x14ac:dyDescent="0.15">
      <c r="B385" s="3"/>
      <c r="C385" s="3"/>
      <c r="D385" s="3"/>
      <c r="E385" s="3"/>
      <c r="F385" s="3"/>
      <c r="G385" s="3"/>
      <c r="H385" s="3"/>
      <c r="I385" s="3"/>
    </row>
    <row r="386" spans="2:9" ht="13" x14ac:dyDescent="0.15">
      <c r="B386" s="3"/>
      <c r="C386" s="3"/>
      <c r="D386" s="3"/>
      <c r="E386" s="3"/>
      <c r="F386" s="3"/>
      <c r="G386" s="3"/>
      <c r="H386" s="3"/>
      <c r="I386" s="3"/>
    </row>
    <row r="387" spans="2:9" ht="13" x14ac:dyDescent="0.15">
      <c r="B387" s="3"/>
      <c r="C387" s="3"/>
      <c r="D387" s="3"/>
      <c r="E387" s="3"/>
      <c r="F387" s="3"/>
      <c r="G387" s="3"/>
      <c r="H387" s="3"/>
      <c r="I387" s="3"/>
    </row>
    <row r="388" spans="2:9" ht="13" x14ac:dyDescent="0.15">
      <c r="B388" s="3"/>
      <c r="C388" s="3"/>
      <c r="D388" s="3"/>
      <c r="E388" s="3"/>
      <c r="F388" s="3"/>
      <c r="G388" s="3"/>
      <c r="H388" s="3"/>
      <c r="I388" s="3"/>
    </row>
    <row r="389" spans="2:9" ht="13" x14ac:dyDescent="0.15">
      <c r="B389" s="3"/>
      <c r="C389" s="3"/>
      <c r="D389" s="3"/>
      <c r="E389" s="3"/>
      <c r="F389" s="3"/>
      <c r="G389" s="3"/>
      <c r="H389" s="3"/>
      <c r="I389" s="3"/>
    </row>
    <row r="390" spans="2:9" ht="13" x14ac:dyDescent="0.15">
      <c r="B390" s="3"/>
      <c r="C390" s="3"/>
      <c r="D390" s="3"/>
      <c r="E390" s="3"/>
      <c r="F390" s="3"/>
      <c r="G390" s="3"/>
      <c r="H390" s="3"/>
      <c r="I390" s="3"/>
    </row>
    <row r="391" spans="2:9" ht="13" x14ac:dyDescent="0.15">
      <c r="B391" s="3"/>
      <c r="C391" s="3"/>
      <c r="D391" s="3"/>
      <c r="E391" s="3"/>
      <c r="F391" s="3"/>
      <c r="G391" s="3"/>
      <c r="H391" s="3"/>
      <c r="I391" s="3"/>
    </row>
    <row r="392" spans="2:9" ht="13" x14ac:dyDescent="0.15">
      <c r="B392" s="3"/>
      <c r="C392" s="3"/>
      <c r="D392" s="3"/>
      <c r="E392" s="3"/>
      <c r="F392" s="3"/>
      <c r="G392" s="3"/>
      <c r="H392" s="3"/>
      <c r="I392" s="3"/>
    </row>
    <row r="393" spans="2:9" ht="13" x14ac:dyDescent="0.15">
      <c r="B393" s="3"/>
      <c r="C393" s="3"/>
      <c r="D393" s="3"/>
      <c r="E393" s="3"/>
      <c r="F393" s="3"/>
      <c r="G393" s="3"/>
      <c r="H393" s="3"/>
      <c r="I393" s="3"/>
    </row>
    <row r="394" spans="2:9" ht="13" x14ac:dyDescent="0.15">
      <c r="B394" s="3"/>
      <c r="C394" s="3"/>
      <c r="D394" s="3"/>
      <c r="E394" s="3"/>
      <c r="F394" s="3"/>
      <c r="G394" s="3"/>
      <c r="H394" s="3"/>
      <c r="I394" s="3"/>
    </row>
    <row r="395" spans="2:9" ht="13" x14ac:dyDescent="0.15">
      <c r="B395" s="3"/>
      <c r="C395" s="3"/>
      <c r="D395" s="3"/>
      <c r="E395" s="3"/>
      <c r="F395" s="3"/>
      <c r="G395" s="3"/>
      <c r="H395" s="3"/>
      <c r="I395" s="3"/>
    </row>
    <row r="396" spans="2:9" ht="13" x14ac:dyDescent="0.15">
      <c r="B396" s="3"/>
      <c r="C396" s="3"/>
      <c r="D396" s="3"/>
      <c r="E396" s="3"/>
      <c r="F396" s="3"/>
      <c r="G396" s="3"/>
      <c r="H396" s="3"/>
      <c r="I396" s="3"/>
    </row>
    <row r="397" spans="2:9" ht="13" x14ac:dyDescent="0.15">
      <c r="B397" s="3"/>
      <c r="C397" s="3"/>
      <c r="D397" s="3"/>
      <c r="E397" s="3"/>
      <c r="F397" s="3"/>
      <c r="G397" s="3"/>
      <c r="H397" s="3"/>
      <c r="I397" s="3"/>
    </row>
    <row r="398" spans="2:9" ht="13" x14ac:dyDescent="0.15">
      <c r="B398" s="3"/>
      <c r="C398" s="3"/>
      <c r="D398" s="3"/>
      <c r="E398" s="3"/>
      <c r="F398" s="3"/>
      <c r="G398" s="3"/>
      <c r="H398" s="3"/>
      <c r="I398" s="3"/>
    </row>
    <row r="399" spans="2:9" ht="13" x14ac:dyDescent="0.15">
      <c r="B399" s="3"/>
      <c r="C399" s="3"/>
      <c r="D399" s="3"/>
      <c r="E399" s="3"/>
      <c r="F399" s="3"/>
      <c r="G399" s="3"/>
      <c r="H399" s="3"/>
      <c r="I399" s="3"/>
    </row>
    <row r="400" spans="2:9" ht="13" x14ac:dyDescent="0.15">
      <c r="B400" s="3"/>
      <c r="C400" s="3"/>
      <c r="D400" s="3"/>
      <c r="E400" s="3"/>
      <c r="F400" s="3"/>
      <c r="G400" s="3"/>
      <c r="H400" s="3"/>
      <c r="I400" s="3"/>
    </row>
    <row r="401" spans="2:9" ht="13" x14ac:dyDescent="0.15">
      <c r="B401" s="3"/>
      <c r="C401" s="3"/>
      <c r="D401" s="3"/>
      <c r="E401" s="3"/>
      <c r="F401" s="3"/>
      <c r="G401" s="3"/>
      <c r="H401" s="3"/>
      <c r="I401" s="3"/>
    </row>
    <row r="402" spans="2:9" ht="13" x14ac:dyDescent="0.15">
      <c r="B402" s="3"/>
      <c r="C402" s="3"/>
      <c r="D402" s="3"/>
      <c r="E402" s="3"/>
      <c r="F402" s="3"/>
      <c r="G402" s="3"/>
      <c r="H402" s="3"/>
      <c r="I402" s="3"/>
    </row>
    <row r="403" spans="2:9" ht="13" x14ac:dyDescent="0.15">
      <c r="B403" s="3"/>
      <c r="C403" s="3"/>
      <c r="D403" s="3"/>
      <c r="E403" s="3"/>
      <c r="F403" s="3"/>
      <c r="G403" s="3"/>
      <c r="H403" s="3"/>
      <c r="I403" s="3"/>
    </row>
    <row r="404" spans="2:9" ht="13" x14ac:dyDescent="0.15">
      <c r="B404" s="3"/>
      <c r="C404" s="3"/>
      <c r="D404" s="3"/>
      <c r="E404" s="3"/>
      <c r="F404" s="3"/>
      <c r="G404" s="3"/>
      <c r="H404" s="3"/>
      <c r="I404" s="3"/>
    </row>
    <row r="405" spans="2:9" ht="13" x14ac:dyDescent="0.15">
      <c r="B405" s="3"/>
      <c r="C405" s="3"/>
      <c r="D405" s="3"/>
      <c r="E405" s="3"/>
      <c r="F405" s="3"/>
      <c r="G405" s="3"/>
      <c r="H405" s="3"/>
      <c r="I405" s="3"/>
    </row>
    <row r="406" spans="2:9" ht="13" x14ac:dyDescent="0.15">
      <c r="B406" s="3"/>
      <c r="C406" s="3"/>
      <c r="D406" s="3"/>
      <c r="E406" s="3"/>
      <c r="F406" s="3"/>
      <c r="G406" s="3"/>
      <c r="H406" s="3"/>
      <c r="I406" s="3"/>
    </row>
    <row r="407" spans="2:9" ht="13" x14ac:dyDescent="0.15">
      <c r="B407" s="3"/>
      <c r="C407" s="3"/>
      <c r="D407" s="3"/>
      <c r="E407" s="3"/>
      <c r="F407" s="3"/>
      <c r="G407" s="3"/>
      <c r="H407" s="3"/>
      <c r="I407" s="3"/>
    </row>
    <row r="408" spans="2:9" ht="13" x14ac:dyDescent="0.15">
      <c r="B408" s="3"/>
      <c r="C408" s="3"/>
      <c r="D408" s="3"/>
      <c r="E408" s="3"/>
      <c r="F408" s="3"/>
      <c r="G408" s="3"/>
      <c r="H408" s="3"/>
      <c r="I408" s="3"/>
    </row>
    <row r="409" spans="2:9" ht="13" x14ac:dyDescent="0.15">
      <c r="B409" s="3"/>
      <c r="C409" s="3"/>
      <c r="D409" s="3"/>
      <c r="E409" s="3"/>
      <c r="F409" s="3"/>
      <c r="G409" s="3"/>
      <c r="H409" s="3"/>
      <c r="I409" s="3"/>
    </row>
    <row r="410" spans="2:9" ht="13" x14ac:dyDescent="0.15">
      <c r="B410" s="3"/>
      <c r="C410" s="3"/>
      <c r="D410" s="3"/>
      <c r="E410" s="3"/>
      <c r="F410" s="3"/>
      <c r="G410" s="3"/>
      <c r="H410" s="3"/>
      <c r="I410" s="3"/>
    </row>
    <row r="411" spans="2:9" ht="13" x14ac:dyDescent="0.15">
      <c r="B411" s="3"/>
      <c r="C411" s="3"/>
      <c r="D411" s="3"/>
      <c r="E411" s="3"/>
      <c r="F411" s="3"/>
      <c r="G411" s="3"/>
      <c r="H411" s="3"/>
      <c r="I411" s="3"/>
    </row>
    <row r="412" spans="2:9" ht="13" x14ac:dyDescent="0.15">
      <c r="B412" s="3"/>
      <c r="C412" s="3"/>
      <c r="D412" s="3"/>
      <c r="E412" s="3"/>
      <c r="F412" s="3"/>
      <c r="G412" s="3"/>
      <c r="H412" s="3"/>
      <c r="I412" s="3"/>
    </row>
    <row r="413" spans="2:9" ht="13" x14ac:dyDescent="0.15">
      <c r="B413" s="3"/>
      <c r="C413" s="3"/>
      <c r="D413" s="3"/>
      <c r="E413" s="3"/>
      <c r="F413" s="3"/>
      <c r="G413" s="3"/>
      <c r="H413" s="3"/>
      <c r="I413" s="3"/>
    </row>
    <row r="414" spans="2:9" ht="13" x14ac:dyDescent="0.15">
      <c r="B414" s="3"/>
      <c r="C414" s="3"/>
      <c r="D414" s="3"/>
      <c r="E414" s="3"/>
      <c r="F414" s="3"/>
      <c r="G414" s="3"/>
      <c r="H414" s="3"/>
      <c r="I414" s="3"/>
    </row>
    <row r="415" spans="2:9" ht="13" x14ac:dyDescent="0.15">
      <c r="B415" s="3"/>
      <c r="C415" s="3"/>
      <c r="D415" s="3"/>
      <c r="E415" s="3"/>
      <c r="F415" s="3"/>
      <c r="G415" s="3"/>
      <c r="H415" s="3"/>
      <c r="I415" s="3"/>
    </row>
    <row r="416" spans="2:9" ht="13" x14ac:dyDescent="0.15">
      <c r="B416" s="3"/>
      <c r="C416" s="3"/>
      <c r="D416" s="3"/>
      <c r="E416" s="3"/>
      <c r="F416" s="3"/>
      <c r="G416" s="3"/>
      <c r="H416" s="3"/>
      <c r="I416" s="3"/>
    </row>
    <row r="417" spans="2:9" ht="13" x14ac:dyDescent="0.15">
      <c r="B417" s="3"/>
      <c r="C417" s="3"/>
      <c r="D417" s="3"/>
      <c r="E417" s="3"/>
      <c r="F417" s="3"/>
      <c r="G417" s="3"/>
      <c r="H417" s="3"/>
      <c r="I417" s="3"/>
    </row>
    <row r="418" spans="2:9" ht="13" x14ac:dyDescent="0.15">
      <c r="B418" s="3"/>
      <c r="C418" s="3"/>
      <c r="D418" s="3"/>
      <c r="E418" s="3"/>
      <c r="F418" s="3"/>
      <c r="G418" s="3"/>
      <c r="H418" s="3"/>
      <c r="I418" s="3"/>
    </row>
    <row r="419" spans="2:9" ht="13" x14ac:dyDescent="0.15">
      <c r="B419" s="3"/>
      <c r="C419" s="3"/>
      <c r="D419" s="3"/>
      <c r="E419" s="3"/>
      <c r="F419" s="3"/>
      <c r="G419" s="3"/>
      <c r="H419" s="3"/>
      <c r="I419" s="3"/>
    </row>
    <row r="420" spans="2:9" ht="13" x14ac:dyDescent="0.15">
      <c r="B420" s="3"/>
      <c r="C420" s="3"/>
      <c r="D420" s="3"/>
      <c r="E420" s="3"/>
      <c r="F420" s="3"/>
      <c r="G420" s="3"/>
      <c r="H420" s="3"/>
      <c r="I420" s="3"/>
    </row>
    <row r="421" spans="2:9" ht="13" x14ac:dyDescent="0.15">
      <c r="B421" s="3"/>
      <c r="C421" s="3"/>
      <c r="D421" s="3"/>
      <c r="E421" s="3"/>
      <c r="F421" s="3"/>
      <c r="G421" s="3"/>
      <c r="H421" s="3"/>
      <c r="I421" s="3"/>
    </row>
    <row r="422" spans="2:9" ht="13" x14ac:dyDescent="0.15">
      <c r="B422" s="3"/>
      <c r="C422" s="3"/>
      <c r="D422" s="3"/>
      <c r="E422" s="3"/>
      <c r="F422" s="3"/>
      <c r="G422" s="3"/>
      <c r="H422" s="3"/>
      <c r="I422" s="3"/>
    </row>
    <row r="423" spans="2:9" ht="13" x14ac:dyDescent="0.15">
      <c r="B423" s="3"/>
      <c r="C423" s="3"/>
      <c r="D423" s="3"/>
      <c r="E423" s="3"/>
      <c r="F423" s="3"/>
      <c r="G423" s="3"/>
      <c r="H423" s="3"/>
      <c r="I423" s="3"/>
    </row>
    <row r="424" spans="2:9" ht="13" x14ac:dyDescent="0.15">
      <c r="B424" s="3"/>
      <c r="C424" s="3"/>
      <c r="D424" s="3"/>
      <c r="E424" s="3"/>
      <c r="F424" s="3"/>
      <c r="G424" s="3"/>
      <c r="H424" s="3"/>
      <c r="I424" s="3"/>
    </row>
    <row r="425" spans="2:9" ht="13" x14ac:dyDescent="0.15">
      <c r="B425" s="3"/>
      <c r="C425" s="3"/>
      <c r="D425" s="3"/>
      <c r="E425" s="3"/>
      <c r="F425" s="3"/>
      <c r="G425" s="3"/>
      <c r="H425" s="3"/>
      <c r="I425" s="3"/>
    </row>
    <row r="426" spans="2:9" ht="13" x14ac:dyDescent="0.15">
      <c r="B426" s="3"/>
      <c r="C426" s="3"/>
      <c r="D426" s="3"/>
      <c r="E426" s="3"/>
      <c r="F426" s="3"/>
      <c r="G426" s="3"/>
      <c r="H426" s="3"/>
      <c r="I426" s="3"/>
    </row>
    <row r="427" spans="2:9" ht="13" x14ac:dyDescent="0.15">
      <c r="B427" s="3"/>
      <c r="C427" s="3"/>
      <c r="D427" s="3"/>
      <c r="E427" s="3"/>
      <c r="F427" s="3"/>
      <c r="G427" s="3"/>
      <c r="H427" s="3"/>
      <c r="I427" s="3"/>
    </row>
    <row r="428" spans="2:9" ht="13" x14ac:dyDescent="0.15">
      <c r="B428" s="3"/>
      <c r="C428" s="3"/>
      <c r="D428" s="3"/>
      <c r="E428" s="3"/>
      <c r="F428" s="3"/>
      <c r="G428" s="3"/>
      <c r="H428" s="3"/>
      <c r="I428" s="3"/>
    </row>
    <row r="429" spans="2:9" ht="13" x14ac:dyDescent="0.15">
      <c r="B429" s="3"/>
      <c r="C429" s="3"/>
      <c r="D429" s="3"/>
      <c r="E429" s="3"/>
      <c r="F429" s="3"/>
      <c r="G429" s="3"/>
      <c r="H429" s="3"/>
      <c r="I429" s="3"/>
    </row>
    <row r="430" spans="2:9" ht="13" x14ac:dyDescent="0.15">
      <c r="B430" s="3"/>
      <c r="C430" s="3"/>
      <c r="D430" s="3"/>
      <c r="E430" s="3"/>
      <c r="F430" s="3"/>
      <c r="G430" s="3"/>
      <c r="H430" s="3"/>
      <c r="I430" s="3"/>
    </row>
    <row r="431" spans="2:9" ht="13" x14ac:dyDescent="0.15">
      <c r="B431" s="3"/>
      <c r="C431" s="3"/>
      <c r="D431" s="3"/>
      <c r="E431" s="3"/>
      <c r="F431" s="3"/>
      <c r="G431" s="3"/>
      <c r="H431" s="3"/>
      <c r="I431" s="3"/>
    </row>
    <row r="432" spans="2:9" ht="13" x14ac:dyDescent="0.15">
      <c r="B432" s="3"/>
      <c r="C432" s="3"/>
      <c r="D432" s="3"/>
      <c r="E432" s="3"/>
      <c r="F432" s="3"/>
      <c r="G432" s="3"/>
      <c r="H432" s="3"/>
      <c r="I432" s="3"/>
    </row>
    <row r="433" spans="2:9" ht="13" x14ac:dyDescent="0.15">
      <c r="B433" s="3"/>
      <c r="C433" s="3"/>
      <c r="D433" s="3"/>
      <c r="E433" s="3"/>
      <c r="F433" s="3"/>
      <c r="G433" s="3"/>
      <c r="H433" s="3"/>
      <c r="I433" s="3"/>
    </row>
    <row r="434" spans="2:9" ht="13" x14ac:dyDescent="0.15">
      <c r="B434" s="3"/>
      <c r="C434" s="3"/>
      <c r="D434" s="3"/>
      <c r="E434" s="3"/>
      <c r="F434" s="3"/>
      <c r="G434" s="3"/>
      <c r="H434" s="3"/>
      <c r="I434" s="3"/>
    </row>
    <row r="435" spans="2:9" ht="13" x14ac:dyDescent="0.15">
      <c r="B435" s="3"/>
      <c r="C435" s="3"/>
      <c r="D435" s="3"/>
      <c r="E435" s="3"/>
      <c r="F435" s="3"/>
      <c r="G435" s="3"/>
      <c r="H435" s="3"/>
      <c r="I435" s="3"/>
    </row>
    <row r="436" spans="2:9" ht="13" x14ac:dyDescent="0.15">
      <c r="B436" s="3"/>
      <c r="C436" s="3"/>
      <c r="D436" s="3"/>
      <c r="E436" s="3"/>
      <c r="F436" s="3"/>
      <c r="G436" s="3"/>
      <c r="H436" s="3"/>
      <c r="I436" s="3"/>
    </row>
    <row r="437" spans="2:9" ht="13" x14ac:dyDescent="0.15">
      <c r="B437" s="3"/>
      <c r="C437" s="3"/>
      <c r="D437" s="3"/>
      <c r="E437" s="3"/>
      <c r="F437" s="3"/>
      <c r="G437" s="3"/>
      <c r="H437" s="3"/>
      <c r="I437" s="3"/>
    </row>
    <row r="438" spans="2:9" ht="13" x14ac:dyDescent="0.15">
      <c r="B438" s="3"/>
      <c r="C438" s="3"/>
      <c r="D438" s="3"/>
      <c r="E438" s="3"/>
      <c r="F438" s="3"/>
      <c r="G438" s="3"/>
      <c r="H438" s="3"/>
      <c r="I438" s="3"/>
    </row>
    <row r="439" spans="2:9" ht="13" x14ac:dyDescent="0.15">
      <c r="B439" s="3"/>
      <c r="C439" s="3"/>
      <c r="D439" s="3"/>
      <c r="E439" s="3"/>
      <c r="F439" s="3"/>
      <c r="G439" s="3"/>
      <c r="H439" s="3"/>
      <c r="I439" s="3"/>
    </row>
    <row r="440" spans="2:9" ht="13" x14ac:dyDescent="0.15">
      <c r="B440" s="3"/>
      <c r="C440" s="3"/>
      <c r="D440" s="3"/>
      <c r="E440" s="3"/>
      <c r="F440" s="3"/>
      <c r="G440" s="3"/>
      <c r="H440" s="3"/>
      <c r="I440" s="3"/>
    </row>
    <row r="441" spans="2:9" ht="13" x14ac:dyDescent="0.15">
      <c r="B441" s="3"/>
      <c r="C441" s="3"/>
      <c r="D441" s="3"/>
      <c r="E441" s="3"/>
      <c r="F441" s="3"/>
      <c r="G441" s="3"/>
      <c r="H441" s="3"/>
      <c r="I441" s="3"/>
    </row>
    <row r="442" spans="2:9" ht="13" x14ac:dyDescent="0.15">
      <c r="B442" s="3"/>
      <c r="C442" s="3"/>
      <c r="D442" s="3"/>
      <c r="E442" s="3"/>
      <c r="F442" s="3"/>
      <c r="G442" s="3"/>
      <c r="H442" s="3"/>
      <c r="I442" s="3"/>
    </row>
    <row r="443" spans="2:9" ht="13" x14ac:dyDescent="0.15">
      <c r="B443" s="3"/>
      <c r="C443" s="3"/>
      <c r="D443" s="3"/>
      <c r="E443" s="3"/>
      <c r="F443" s="3"/>
      <c r="G443" s="3"/>
      <c r="H443" s="3"/>
      <c r="I443" s="3"/>
    </row>
    <row r="444" spans="2:9" ht="13" x14ac:dyDescent="0.15">
      <c r="B444" s="3"/>
      <c r="C444" s="3"/>
      <c r="D444" s="3"/>
      <c r="E444" s="3"/>
      <c r="F444" s="3"/>
      <c r="G444" s="3"/>
      <c r="H444" s="3"/>
      <c r="I444" s="3"/>
    </row>
    <row r="445" spans="2:9" ht="13" x14ac:dyDescent="0.15">
      <c r="B445" s="3"/>
      <c r="C445" s="3"/>
      <c r="D445" s="3"/>
      <c r="E445" s="3"/>
      <c r="F445" s="3"/>
      <c r="G445" s="3"/>
      <c r="H445" s="3"/>
      <c r="I445" s="3"/>
    </row>
    <row r="446" spans="2:9" ht="13" x14ac:dyDescent="0.15">
      <c r="B446" s="3"/>
      <c r="C446" s="3"/>
      <c r="D446" s="3"/>
      <c r="E446" s="3"/>
      <c r="F446" s="3"/>
      <c r="G446" s="3"/>
      <c r="H446" s="3"/>
      <c r="I446" s="3"/>
    </row>
    <row r="447" spans="2:9" ht="13" x14ac:dyDescent="0.15">
      <c r="B447" s="3"/>
      <c r="C447" s="3"/>
      <c r="D447" s="3"/>
      <c r="E447" s="3"/>
      <c r="F447" s="3"/>
      <c r="G447" s="3"/>
      <c r="H447" s="3"/>
      <c r="I447" s="3"/>
    </row>
    <row r="448" spans="2:9" ht="13" x14ac:dyDescent="0.15">
      <c r="B448" s="3"/>
      <c r="C448" s="3"/>
      <c r="D448" s="3"/>
      <c r="E448" s="3"/>
      <c r="F448" s="3"/>
      <c r="G448" s="3"/>
      <c r="H448" s="3"/>
      <c r="I448" s="3"/>
    </row>
    <row r="449" spans="2:9" ht="13" x14ac:dyDescent="0.15">
      <c r="B449" s="3"/>
      <c r="C449" s="3"/>
      <c r="D449" s="3"/>
      <c r="E449" s="3"/>
      <c r="F449" s="3"/>
      <c r="G449" s="3"/>
      <c r="H449" s="3"/>
      <c r="I449" s="3"/>
    </row>
    <row r="450" spans="2:9" ht="13" x14ac:dyDescent="0.15">
      <c r="B450" s="3"/>
      <c r="C450" s="3"/>
      <c r="D450" s="3"/>
      <c r="E450" s="3"/>
      <c r="F450" s="3"/>
      <c r="G450" s="3"/>
      <c r="H450" s="3"/>
      <c r="I450" s="3"/>
    </row>
    <row r="451" spans="2:9" ht="13" x14ac:dyDescent="0.15">
      <c r="B451" s="3"/>
      <c r="C451" s="3"/>
      <c r="D451" s="3"/>
      <c r="E451" s="3"/>
      <c r="F451" s="3"/>
      <c r="G451" s="3"/>
      <c r="H451" s="3"/>
      <c r="I451" s="3"/>
    </row>
    <row r="452" spans="2:9" ht="13" x14ac:dyDescent="0.15">
      <c r="B452" s="3"/>
      <c r="C452" s="3"/>
      <c r="D452" s="3"/>
      <c r="E452" s="3"/>
      <c r="F452" s="3"/>
      <c r="G452" s="3"/>
      <c r="H452" s="3"/>
      <c r="I452" s="3"/>
    </row>
    <row r="453" spans="2:9" ht="13" x14ac:dyDescent="0.15">
      <c r="B453" s="3"/>
      <c r="C453" s="3"/>
      <c r="D453" s="3"/>
      <c r="E453" s="3"/>
      <c r="F453" s="3"/>
      <c r="G453" s="3"/>
      <c r="H453" s="3"/>
      <c r="I453" s="3"/>
    </row>
    <row r="454" spans="2:9" ht="13" x14ac:dyDescent="0.15">
      <c r="B454" s="3"/>
      <c r="C454" s="3"/>
      <c r="D454" s="3"/>
      <c r="E454" s="3"/>
      <c r="F454" s="3"/>
      <c r="G454" s="3"/>
      <c r="H454" s="3"/>
      <c r="I454" s="3"/>
    </row>
    <row r="455" spans="2:9" ht="13" x14ac:dyDescent="0.15">
      <c r="B455" s="3"/>
      <c r="C455" s="3"/>
      <c r="D455" s="3"/>
      <c r="E455" s="3"/>
      <c r="F455" s="3"/>
      <c r="G455" s="3"/>
      <c r="H455" s="3"/>
      <c r="I455" s="3"/>
    </row>
    <row r="456" spans="2:9" ht="13" x14ac:dyDescent="0.15">
      <c r="B456" s="3"/>
      <c r="C456" s="3"/>
      <c r="D456" s="3"/>
      <c r="E456" s="3"/>
      <c r="F456" s="3"/>
      <c r="G456" s="3"/>
      <c r="H456" s="3"/>
      <c r="I456" s="3"/>
    </row>
    <row r="457" spans="2:9" ht="13" x14ac:dyDescent="0.15">
      <c r="B457" s="3"/>
      <c r="C457" s="3"/>
      <c r="D457" s="3"/>
      <c r="E457" s="3"/>
      <c r="F457" s="3"/>
      <c r="G457" s="3"/>
      <c r="H457" s="3"/>
      <c r="I457" s="3"/>
    </row>
    <row r="458" spans="2:9" ht="13" x14ac:dyDescent="0.15">
      <c r="B458" s="3"/>
      <c r="C458" s="3"/>
      <c r="D458" s="3"/>
      <c r="E458" s="3"/>
      <c r="F458" s="3"/>
      <c r="G458" s="3"/>
      <c r="H458" s="3"/>
      <c r="I458" s="3"/>
    </row>
    <row r="459" spans="2:9" ht="13" x14ac:dyDescent="0.15">
      <c r="B459" s="3"/>
      <c r="C459" s="3"/>
      <c r="D459" s="3"/>
      <c r="E459" s="3"/>
      <c r="F459" s="3"/>
      <c r="G459" s="3"/>
      <c r="H459" s="3"/>
      <c r="I459" s="3"/>
    </row>
    <row r="460" spans="2:9" ht="13" x14ac:dyDescent="0.15">
      <c r="B460" s="3"/>
      <c r="C460" s="3"/>
      <c r="D460" s="3"/>
      <c r="E460" s="3"/>
      <c r="F460" s="3"/>
      <c r="G460" s="3"/>
      <c r="H460" s="3"/>
      <c r="I460" s="3"/>
    </row>
    <row r="461" spans="2:9" ht="13" x14ac:dyDescent="0.15">
      <c r="B461" s="3"/>
      <c r="C461" s="3"/>
      <c r="D461" s="3"/>
      <c r="E461" s="3"/>
      <c r="F461" s="3"/>
      <c r="G461" s="3"/>
      <c r="H461" s="3"/>
      <c r="I461" s="3"/>
    </row>
    <row r="462" spans="2:9" ht="13" x14ac:dyDescent="0.15">
      <c r="B462" s="3"/>
      <c r="C462" s="3"/>
      <c r="D462" s="3"/>
      <c r="E462" s="3"/>
      <c r="F462" s="3"/>
      <c r="G462" s="3"/>
      <c r="H462" s="3"/>
      <c r="I462" s="3"/>
    </row>
    <row r="463" spans="2:9" ht="13" x14ac:dyDescent="0.15">
      <c r="B463" s="3"/>
      <c r="C463" s="3"/>
      <c r="D463" s="3"/>
      <c r="E463" s="3"/>
      <c r="F463" s="3"/>
      <c r="G463" s="3"/>
      <c r="H463" s="3"/>
      <c r="I463" s="3"/>
    </row>
    <row r="464" spans="2:9" ht="13" x14ac:dyDescent="0.15">
      <c r="B464" s="3"/>
      <c r="C464" s="3"/>
      <c r="D464" s="3"/>
      <c r="E464" s="3"/>
      <c r="F464" s="3"/>
      <c r="G464" s="3"/>
      <c r="H464" s="3"/>
      <c r="I464" s="3"/>
    </row>
    <row r="465" spans="2:9" ht="13" x14ac:dyDescent="0.15">
      <c r="B465" s="3"/>
      <c r="C465" s="3"/>
      <c r="D465" s="3"/>
      <c r="E465" s="3"/>
      <c r="F465" s="3"/>
      <c r="G465" s="3"/>
      <c r="H465" s="3"/>
      <c r="I465" s="3"/>
    </row>
    <row r="466" spans="2:9" ht="13" x14ac:dyDescent="0.15">
      <c r="B466" s="3"/>
      <c r="C466" s="3"/>
      <c r="D466" s="3"/>
      <c r="E466" s="3"/>
      <c r="F466" s="3"/>
      <c r="G466" s="3"/>
      <c r="H466" s="3"/>
      <c r="I466" s="3"/>
    </row>
    <row r="467" spans="2:9" ht="13" x14ac:dyDescent="0.15">
      <c r="B467" s="3"/>
      <c r="C467" s="3"/>
      <c r="D467" s="3"/>
      <c r="E467" s="3"/>
      <c r="F467" s="3"/>
      <c r="G467" s="3"/>
      <c r="H467" s="3"/>
      <c r="I467" s="3"/>
    </row>
    <row r="468" spans="2:9" ht="13" x14ac:dyDescent="0.15">
      <c r="B468" s="3"/>
      <c r="C468" s="3"/>
      <c r="D468" s="3"/>
      <c r="E468" s="3"/>
      <c r="F468" s="3"/>
      <c r="G468" s="3"/>
      <c r="H468" s="3"/>
      <c r="I468" s="3"/>
    </row>
    <row r="469" spans="2:9" ht="13" x14ac:dyDescent="0.15">
      <c r="B469" s="3"/>
      <c r="C469" s="3"/>
      <c r="D469" s="3"/>
      <c r="E469" s="3"/>
      <c r="F469" s="3"/>
      <c r="G469" s="3"/>
      <c r="H469" s="3"/>
      <c r="I469" s="3"/>
    </row>
    <row r="470" spans="2:9" ht="13" x14ac:dyDescent="0.15">
      <c r="B470" s="3"/>
      <c r="C470" s="3"/>
      <c r="D470" s="3"/>
      <c r="E470" s="3"/>
      <c r="F470" s="3"/>
      <c r="G470" s="3"/>
      <c r="H470" s="3"/>
      <c r="I470" s="3"/>
    </row>
    <row r="471" spans="2:9" ht="13" x14ac:dyDescent="0.15">
      <c r="B471" s="3"/>
      <c r="C471" s="3"/>
      <c r="D471" s="3"/>
      <c r="E471" s="3"/>
      <c r="F471" s="3"/>
      <c r="G471" s="3"/>
      <c r="H471" s="3"/>
      <c r="I471" s="3"/>
    </row>
    <row r="472" spans="2:9" ht="13" x14ac:dyDescent="0.15">
      <c r="B472" s="3"/>
      <c r="C472" s="3"/>
      <c r="D472" s="3"/>
      <c r="E472" s="3"/>
      <c r="F472" s="3"/>
      <c r="G472" s="3"/>
      <c r="H472" s="3"/>
      <c r="I472" s="3"/>
    </row>
    <row r="473" spans="2:9" ht="13" x14ac:dyDescent="0.15">
      <c r="B473" s="3"/>
      <c r="C473" s="3"/>
      <c r="D473" s="3"/>
      <c r="E473" s="3"/>
      <c r="F473" s="3"/>
      <c r="G473" s="3"/>
      <c r="H473" s="3"/>
      <c r="I473" s="3"/>
    </row>
    <row r="474" spans="2:9" ht="13" x14ac:dyDescent="0.15">
      <c r="B474" s="3"/>
      <c r="C474" s="3"/>
      <c r="D474" s="3"/>
      <c r="E474" s="3"/>
      <c r="F474" s="3"/>
      <c r="G474" s="3"/>
      <c r="H474" s="3"/>
      <c r="I474" s="3"/>
    </row>
    <row r="475" spans="2:9" ht="13" x14ac:dyDescent="0.15">
      <c r="B475" s="3"/>
      <c r="C475" s="3"/>
      <c r="D475" s="3"/>
      <c r="E475" s="3"/>
      <c r="F475" s="3"/>
      <c r="G475" s="3"/>
      <c r="H475" s="3"/>
      <c r="I475" s="3"/>
    </row>
    <row r="476" spans="2:9" ht="13" x14ac:dyDescent="0.15">
      <c r="B476" s="3"/>
      <c r="C476" s="3"/>
      <c r="D476" s="3"/>
      <c r="E476" s="3"/>
      <c r="F476" s="3"/>
      <c r="G476" s="3"/>
      <c r="H476" s="3"/>
      <c r="I476" s="3"/>
    </row>
    <row r="477" spans="2:9" ht="13" x14ac:dyDescent="0.15">
      <c r="B477" s="3"/>
      <c r="C477" s="3"/>
      <c r="D477" s="3"/>
      <c r="E477" s="3"/>
      <c r="F477" s="3"/>
      <c r="G477" s="3"/>
      <c r="H477" s="3"/>
      <c r="I477" s="3"/>
    </row>
    <row r="478" spans="2:9" ht="13" x14ac:dyDescent="0.15">
      <c r="B478" s="3"/>
      <c r="C478" s="3"/>
      <c r="D478" s="3"/>
      <c r="E478" s="3"/>
      <c r="F478" s="3"/>
      <c r="G478" s="3"/>
      <c r="H478" s="3"/>
      <c r="I478" s="3"/>
    </row>
    <row r="479" spans="2:9" ht="13" x14ac:dyDescent="0.15">
      <c r="B479" s="3"/>
      <c r="C479" s="3"/>
      <c r="D479" s="3"/>
      <c r="E479" s="3"/>
      <c r="F479" s="3"/>
      <c r="G479" s="3"/>
      <c r="H479" s="3"/>
      <c r="I479" s="3"/>
    </row>
    <row r="480" spans="2:9" ht="13" x14ac:dyDescent="0.15">
      <c r="B480" s="3"/>
      <c r="C480" s="3"/>
      <c r="D480" s="3"/>
      <c r="E480" s="3"/>
      <c r="F480" s="3"/>
      <c r="G480" s="3"/>
      <c r="H480" s="3"/>
      <c r="I480" s="3"/>
    </row>
    <row r="481" spans="2:9" ht="13" x14ac:dyDescent="0.15">
      <c r="B481" s="3"/>
      <c r="C481" s="3"/>
      <c r="D481" s="3"/>
      <c r="E481" s="3"/>
      <c r="F481" s="3"/>
      <c r="G481" s="3"/>
      <c r="H481" s="3"/>
      <c r="I481" s="3"/>
    </row>
    <row r="482" spans="2:9" ht="13" x14ac:dyDescent="0.15">
      <c r="B482" s="3"/>
      <c r="C482" s="3"/>
      <c r="D482" s="3"/>
      <c r="E482" s="3"/>
      <c r="F482" s="3"/>
      <c r="G482" s="3"/>
      <c r="H482" s="3"/>
      <c r="I482" s="3"/>
    </row>
    <row r="483" spans="2:9" ht="13" x14ac:dyDescent="0.15">
      <c r="B483" s="3"/>
      <c r="C483" s="3"/>
      <c r="D483" s="3"/>
      <c r="E483" s="3"/>
      <c r="F483" s="3"/>
      <c r="G483" s="3"/>
      <c r="H483" s="3"/>
      <c r="I483" s="3"/>
    </row>
    <row r="484" spans="2:9" ht="13" x14ac:dyDescent="0.15">
      <c r="B484" s="3"/>
      <c r="C484" s="3"/>
      <c r="D484" s="3"/>
      <c r="E484" s="3"/>
      <c r="F484" s="3"/>
      <c r="G484" s="3"/>
      <c r="H484" s="3"/>
      <c r="I484" s="3"/>
    </row>
    <row r="485" spans="2:9" ht="13" x14ac:dyDescent="0.15">
      <c r="B485" s="3"/>
      <c r="C485" s="3"/>
      <c r="D485" s="3"/>
      <c r="E485" s="3"/>
      <c r="F485" s="3"/>
      <c r="G485" s="3"/>
      <c r="H485" s="3"/>
      <c r="I485" s="3"/>
    </row>
    <row r="486" spans="2:9" ht="13" x14ac:dyDescent="0.15">
      <c r="B486" s="3"/>
      <c r="C486" s="3"/>
      <c r="D486" s="3"/>
      <c r="E486" s="3"/>
      <c r="F486" s="3"/>
      <c r="G486" s="3"/>
      <c r="H486" s="3"/>
      <c r="I486" s="3"/>
    </row>
    <row r="487" spans="2:9" ht="13" x14ac:dyDescent="0.15">
      <c r="B487" s="3"/>
      <c r="C487" s="3"/>
      <c r="D487" s="3"/>
      <c r="E487" s="3"/>
      <c r="F487" s="3"/>
      <c r="G487" s="3"/>
      <c r="H487" s="3"/>
      <c r="I487" s="3"/>
    </row>
    <row r="488" spans="2:9" ht="13" x14ac:dyDescent="0.15">
      <c r="B488" s="3"/>
      <c r="C488" s="3"/>
      <c r="D488" s="3"/>
      <c r="E488" s="3"/>
      <c r="F488" s="3"/>
      <c r="G488" s="3"/>
      <c r="H488" s="3"/>
      <c r="I488" s="3"/>
    </row>
    <row r="489" spans="2:9" ht="13" x14ac:dyDescent="0.15">
      <c r="B489" s="3"/>
      <c r="C489" s="3"/>
      <c r="D489" s="3"/>
      <c r="E489" s="3"/>
      <c r="F489" s="3"/>
      <c r="G489" s="3"/>
      <c r="H489" s="3"/>
      <c r="I489" s="3"/>
    </row>
    <row r="490" spans="2:9" ht="13" x14ac:dyDescent="0.15">
      <c r="B490" s="3"/>
      <c r="C490" s="3"/>
      <c r="D490" s="3"/>
      <c r="E490" s="3"/>
      <c r="F490" s="3"/>
      <c r="G490" s="3"/>
      <c r="H490" s="3"/>
      <c r="I490" s="3"/>
    </row>
    <row r="491" spans="2:9" ht="13" x14ac:dyDescent="0.15">
      <c r="B491" s="3"/>
      <c r="C491" s="3"/>
      <c r="D491" s="3"/>
      <c r="E491" s="3"/>
      <c r="F491" s="3"/>
      <c r="G491" s="3"/>
      <c r="H491" s="3"/>
      <c r="I491" s="3"/>
    </row>
    <row r="492" spans="2:9" ht="13" x14ac:dyDescent="0.15">
      <c r="B492" s="3"/>
      <c r="C492" s="3"/>
      <c r="D492" s="3"/>
      <c r="E492" s="3"/>
      <c r="F492" s="3"/>
      <c r="G492" s="3"/>
      <c r="H492" s="3"/>
      <c r="I492" s="3"/>
    </row>
    <row r="493" spans="2:9" ht="13" x14ac:dyDescent="0.15">
      <c r="B493" s="3"/>
      <c r="C493" s="3"/>
      <c r="D493" s="3"/>
      <c r="E493" s="3"/>
      <c r="F493" s="3"/>
      <c r="G493" s="3"/>
      <c r="H493" s="3"/>
      <c r="I493" s="3"/>
    </row>
    <row r="494" spans="2:9" ht="13" x14ac:dyDescent="0.15">
      <c r="B494" s="3"/>
      <c r="C494" s="3"/>
      <c r="D494" s="3"/>
      <c r="E494" s="3"/>
      <c r="F494" s="3"/>
      <c r="G494" s="3"/>
      <c r="H494" s="3"/>
      <c r="I494" s="3"/>
    </row>
    <row r="495" spans="2:9" ht="13" x14ac:dyDescent="0.15">
      <c r="B495" s="3"/>
      <c r="C495" s="3"/>
      <c r="D495" s="3"/>
      <c r="E495" s="3"/>
      <c r="F495" s="3"/>
      <c r="G495" s="3"/>
      <c r="H495" s="3"/>
      <c r="I495" s="3"/>
    </row>
    <row r="496" spans="2:9" ht="13" x14ac:dyDescent="0.15">
      <c r="B496" s="3"/>
      <c r="C496" s="3"/>
      <c r="D496" s="3"/>
      <c r="E496" s="3"/>
      <c r="F496" s="3"/>
      <c r="G496" s="3"/>
      <c r="H496" s="3"/>
      <c r="I496" s="3"/>
    </row>
    <row r="497" spans="2:9" ht="13" x14ac:dyDescent="0.15">
      <c r="B497" s="3"/>
      <c r="C497" s="3"/>
      <c r="D497" s="3"/>
      <c r="E497" s="3"/>
      <c r="F497" s="3"/>
      <c r="G497" s="3"/>
      <c r="H497" s="3"/>
      <c r="I497" s="3"/>
    </row>
    <row r="498" spans="2:9" ht="13" x14ac:dyDescent="0.15">
      <c r="B498" s="3"/>
      <c r="C498" s="3"/>
      <c r="D498" s="3"/>
      <c r="E498" s="3"/>
      <c r="F498" s="3"/>
      <c r="G498" s="3"/>
      <c r="H498" s="3"/>
      <c r="I498" s="3"/>
    </row>
    <row r="499" spans="2:9" ht="13" x14ac:dyDescent="0.15">
      <c r="B499" s="3"/>
      <c r="C499" s="3"/>
      <c r="D499" s="3"/>
      <c r="E499" s="3"/>
      <c r="F499" s="3"/>
      <c r="G499" s="3"/>
      <c r="H499" s="3"/>
      <c r="I499" s="3"/>
    </row>
    <row r="500" spans="2:9" ht="13" x14ac:dyDescent="0.15">
      <c r="B500" s="3"/>
      <c r="C500" s="3"/>
      <c r="D500" s="3"/>
      <c r="E500" s="3"/>
      <c r="F500" s="3"/>
      <c r="G500" s="3"/>
      <c r="H500" s="3"/>
      <c r="I500" s="3"/>
    </row>
    <row r="501" spans="2:9" ht="13" x14ac:dyDescent="0.15">
      <c r="B501" s="3"/>
      <c r="C501" s="3"/>
      <c r="D501" s="3"/>
      <c r="E501" s="3"/>
      <c r="F501" s="3"/>
      <c r="G501" s="3"/>
      <c r="H501" s="3"/>
      <c r="I501" s="3"/>
    </row>
    <row r="502" spans="2:9" ht="13" x14ac:dyDescent="0.15">
      <c r="B502" s="3"/>
      <c r="C502" s="3"/>
      <c r="D502" s="3"/>
      <c r="E502" s="3"/>
      <c r="F502" s="3"/>
      <c r="G502" s="3"/>
      <c r="H502" s="3"/>
      <c r="I502" s="3"/>
    </row>
    <row r="503" spans="2:9" ht="13" x14ac:dyDescent="0.15">
      <c r="B503" s="3"/>
      <c r="C503" s="3"/>
      <c r="D503" s="3"/>
      <c r="E503" s="3"/>
      <c r="F503" s="3"/>
      <c r="G503" s="3"/>
      <c r="H503" s="3"/>
      <c r="I503" s="3"/>
    </row>
    <row r="504" spans="2:9" ht="13" x14ac:dyDescent="0.15">
      <c r="B504" s="3"/>
      <c r="C504" s="3"/>
      <c r="D504" s="3"/>
      <c r="E504" s="3"/>
      <c r="F504" s="3"/>
      <c r="G504" s="3"/>
      <c r="H504" s="3"/>
      <c r="I504" s="3"/>
    </row>
    <row r="505" spans="2:9" ht="13" x14ac:dyDescent="0.15">
      <c r="B505" s="3"/>
      <c r="C505" s="3"/>
      <c r="D505" s="3"/>
      <c r="E505" s="3"/>
      <c r="F505" s="3"/>
      <c r="G505" s="3"/>
      <c r="H505" s="3"/>
      <c r="I505" s="3"/>
    </row>
    <row r="506" spans="2:9" ht="13" x14ac:dyDescent="0.15">
      <c r="B506" s="3"/>
      <c r="C506" s="3"/>
      <c r="D506" s="3"/>
      <c r="E506" s="3"/>
      <c r="F506" s="3"/>
      <c r="G506" s="3"/>
      <c r="H506" s="3"/>
      <c r="I506" s="3"/>
    </row>
    <row r="507" spans="2:9" ht="13" x14ac:dyDescent="0.15">
      <c r="B507" s="3"/>
      <c r="C507" s="3"/>
      <c r="D507" s="3"/>
      <c r="E507" s="3"/>
      <c r="F507" s="3"/>
      <c r="G507" s="3"/>
      <c r="H507" s="3"/>
      <c r="I507" s="3"/>
    </row>
    <row r="508" spans="2:9" ht="13" x14ac:dyDescent="0.15">
      <c r="B508" s="3"/>
      <c r="C508" s="3"/>
      <c r="D508" s="3"/>
      <c r="E508" s="3"/>
      <c r="F508" s="3"/>
      <c r="G508" s="3"/>
      <c r="H508" s="3"/>
      <c r="I508" s="3"/>
    </row>
    <row r="509" spans="2:9" ht="13" x14ac:dyDescent="0.15">
      <c r="B509" s="3"/>
      <c r="C509" s="3"/>
      <c r="D509" s="3"/>
      <c r="E509" s="3"/>
      <c r="F509" s="3"/>
      <c r="G509" s="3"/>
      <c r="H509" s="3"/>
      <c r="I509" s="3"/>
    </row>
    <row r="510" spans="2:9" ht="13" x14ac:dyDescent="0.15">
      <c r="B510" s="3"/>
      <c r="C510" s="3"/>
      <c r="D510" s="3"/>
      <c r="E510" s="3"/>
      <c r="F510" s="3"/>
      <c r="G510" s="3"/>
      <c r="H510" s="3"/>
      <c r="I510" s="3"/>
    </row>
    <row r="511" spans="2:9" ht="13" x14ac:dyDescent="0.15">
      <c r="B511" s="3"/>
      <c r="C511" s="3"/>
      <c r="D511" s="3"/>
      <c r="E511" s="3"/>
      <c r="F511" s="3"/>
      <c r="G511" s="3"/>
      <c r="H511" s="3"/>
      <c r="I511" s="3"/>
    </row>
    <row r="512" spans="2:9" ht="13" x14ac:dyDescent="0.15">
      <c r="B512" s="3"/>
      <c r="C512" s="3"/>
      <c r="D512" s="3"/>
      <c r="E512" s="3"/>
      <c r="F512" s="3"/>
      <c r="G512" s="3"/>
      <c r="H512" s="3"/>
      <c r="I512" s="3"/>
    </row>
    <row r="513" spans="2:9" ht="13" x14ac:dyDescent="0.15">
      <c r="B513" s="3"/>
      <c r="C513" s="3"/>
      <c r="D513" s="3"/>
      <c r="E513" s="3"/>
      <c r="F513" s="3"/>
      <c r="G513" s="3"/>
      <c r="H513" s="3"/>
      <c r="I513" s="3"/>
    </row>
    <row r="514" spans="2:9" ht="13" x14ac:dyDescent="0.15">
      <c r="B514" s="3"/>
      <c r="C514" s="3"/>
      <c r="D514" s="3"/>
      <c r="E514" s="3"/>
      <c r="F514" s="3"/>
      <c r="G514" s="3"/>
      <c r="H514" s="3"/>
      <c r="I514" s="3"/>
    </row>
    <row r="515" spans="2:9" ht="13" x14ac:dyDescent="0.15">
      <c r="B515" s="3"/>
      <c r="C515" s="3"/>
      <c r="D515" s="3"/>
      <c r="E515" s="3"/>
      <c r="F515" s="3"/>
      <c r="G515" s="3"/>
      <c r="H515" s="3"/>
      <c r="I515" s="3"/>
    </row>
    <row r="516" spans="2:9" ht="13" x14ac:dyDescent="0.15">
      <c r="B516" s="3"/>
      <c r="C516" s="3"/>
      <c r="D516" s="3"/>
      <c r="E516" s="3"/>
      <c r="F516" s="3"/>
      <c r="G516" s="3"/>
      <c r="H516" s="3"/>
      <c r="I516" s="3"/>
    </row>
    <row r="517" spans="2:9" ht="13" x14ac:dyDescent="0.15">
      <c r="B517" s="3"/>
      <c r="C517" s="3"/>
      <c r="D517" s="3"/>
      <c r="E517" s="3"/>
      <c r="F517" s="3"/>
      <c r="G517" s="3"/>
      <c r="H517" s="3"/>
      <c r="I517" s="3"/>
    </row>
    <row r="518" spans="2:9" ht="13" x14ac:dyDescent="0.15">
      <c r="B518" s="3"/>
      <c r="C518" s="3"/>
      <c r="D518" s="3"/>
      <c r="E518" s="3"/>
      <c r="F518" s="3"/>
      <c r="G518" s="3"/>
      <c r="H518" s="3"/>
      <c r="I518" s="3"/>
    </row>
    <row r="519" spans="2:9" ht="13" x14ac:dyDescent="0.15">
      <c r="B519" s="3"/>
      <c r="C519" s="3"/>
      <c r="D519" s="3"/>
      <c r="E519" s="3"/>
      <c r="F519" s="3"/>
      <c r="G519" s="3"/>
      <c r="H519" s="3"/>
      <c r="I519" s="3"/>
    </row>
    <row r="520" spans="2:9" ht="13" x14ac:dyDescent="0.15">
      <c r="B520" s="3"/>
      <c r="C520" s="3"/>
      <c r="D520" s="3"/>
      <c r="E520" s="3"/>
      <c r="F520" s="3"/>
      <c r="G520" s="3"/>
      <c r="H520" s="3"/>
      <c r="I520" s="3"/>
    </row>
    <row r="521" spans="2:9" ht="13" x14ac:dyDescent="0.15">
      <c r="B521" s="3"/>
      <c r="C521" s="3"/>
      <c r="D521" s="3"/>
      <c r="E521" s="3"/>
      <c r="F521" s="3"/>
      <c r="G521" s="3"/>
      <c r="H521" s="3"/>
      <c r="I521" s="3"/>
    </row>
    <row r="522" spans="2:9" ht="13" x14ac:dyDescent="0.15">
      <c r="B522" s="3"/>
      <c r="C522" s="3"/>
      <c r="D522" s="3"/>
      <c r="E522" s="3"/>
      <c r="F522" s="3"/>
      <c r="G522" s="3"/>
      <c r="H522" s="3"/>
      <c r="I522" s="3"/>
    </row>
    <row r="523" spans="2:9" ht="13" x14ac:dyDescent="0.15">
      <c r="B523" s="3"/>
      <c r="C523" s="3"/>
      <c r="D523" s="3"/>
      <c r="E523" s="3"/>
      <c r="F523" s="3"/>
      <c r="G523" s="3"/>
      <c r="H523" s="3"/>
      <c r="I523" s="3"/>
    </row>
    <row r="524" spans="2:9" ht="13" x14ac:dyDescent="0.15">
      <c r="B524" s="3"/>
      <c r="C524" s="3"/>
      <c r="D524" s="3"/>
      <c r="E524" s="3"/>
      <c r="F524" s="3"/>
      <c r="G524" s="3"/>
      <c r="H524" s="3"/>
      <c r="I524" s="3"/>
    </row>
    <row r="525" spans="2:9" ht="13" x14ac:dyDescent="0.15">
      <c r="B525" s="3"/>
      <c r="C525" s="3"/>
      <c r="D525" s="3"/>
      <c r="E525" s="3"/>
      <c r="F525" s="3"/>
      <c r="G525" s="3"/>
      <c r="H525" s="3"/>
      <c r="I525" s="3"/>
    </row>
    <row r="526" spans="2:9" ht="13" x14ac:dyDescent="0.15">
      <c r="B526" s="3"/>
      <c r="C526" s="3"/>
      <c r="D526" s="3"/>
      <c r="E526" s="3"/>
      <c r="F526" s="3"/>
      <c r="G526" s="3"/>
      <c r="H526" s="3"/>
      <c r="I526" s="3"/>
    </row>
    <row r="527" spans="2:9" ht="13" x14ac:dyDescent="0.15">
      <c r="B527" s="3"/>
      <c r="C527" s="3"/>
      <c r="D527" s="3"/>
      <c r="E527" s="3"/>
      <c r="F527" s="3"/>
      <c r="G527" s="3"/>
      <c r="H527" s="3"/>
      <c r="I527" s="3"/>
    </row>
    <row r="528" spans="2:9" ht="13" x14ac:dyDescent="0.15">
      <c r="B528" s="3"/>
      <c r="C528" s="3"/>
      <c r="D528" s="3"/>
      <c r="E528" s="3"/>
      <c r="F528" s="3"/>
      <c r="G528" s="3"/>
      <c r="H528" s="3"/>
      <c r="I528" s="3"/>
    </row>
    <row r="529" spans="2:9" ht="13" x14ac:dyDescent="0.15">
      <c r="B529" s="3"/>
      <c r="C529" s="3"/>
      <c r="D529" s="3"/>
      <c r="E529" s="3"/>
      <c r="F529" s="3"/>
      <c r="G529" s="3"/>
      <c r="H529" s="3"/>
      <c r="I529" s="3"/>
    </row>
    <row r="530" spans="2:9" ht="13" x14ac:dyDescent="0.15">
      <c r="B530" s="3"/>
      <c r="C530" s="3"/>
      <c r="D530" s="3"/>
      <c r="E530" s="3"/>
      <c r="F530" s="3"/>
      <c r="G530" s="3"/>
      <c r="H530" s="3"/>
      <c r="I530" s="3"/>
    </row>
    <row r="531" spans="2:9" ht="13" x14ac:dyDescent="0.15">
      <c r="B531" s="3"/>
      <c r="C531" s="3"/>
      <c r="D531" s="3"/>
      <c r="E531" s="3"/>
      <c r="F531" s="3"/>
      <c r="G531" s="3"/>
      <c r="H531" s="3"/>
      <c r="I531" s="3"/>
    </row>
    <row r="532" spans="2:9" ht="13" x14ac:dyDescent="0.15">
      <c r="B532" s="3"/>
      <c r="C532" s="3"/>
      <c r="D532" s="3"/>
      <c r="E532" s="3"/>
      <c r="F532" s="3"/>
      <c r="G532" s="3"/>
      <c r="H532" s="3"/>
      <c r="I532" s="3"/>
    </row>
    <row r="533" spans="2:9" ht="13" x14ac:dyDescent="0.15">
      <c r="B533" s="3"/>
      <c r="C533" s="3"/>
      <c r="D533" s="3"/>
      <c r="E533" s="3"/>
      <c r="F533" s="3"/>
      <c r="G533" s="3"/>
      <c r="H533" s="3"/>
      <c r="I533" s="3"/>
    </row>
    <row r="534" spans="2:9" ht="13" x14ac:dyDescent="0.15">
      <c r="B534" s="3"/>
      <c r="C534" s="3"/>
      <c r="D534" s="3"/>
      <c r="E534" s="3"/>
      <c r="F534" s="3"/>
      <c r="G534" s="3"/>
      <c r="H534" s="3"/>
      <c r="I534" s="3"/>
    </row>
    <row r="535" spans="2:9" ht="13" x14ac:dyDescent="0.15">
      <c r="B535" s="3"/>
      <c r="C535" s="3"/>
      <c r="D535" s="3"/>
      <c r="E535" s="3"/>
      <c r="F535" s="3"/>
      <c r="G535" s="3"/>
      <c r="H535" s="3"/>
      <c r="I535" s="3"/>
    </row>
    <row r="536" spans="2:9" ht="13" x14ac:dyDescent="0.15">
      <c r="B536" s="3"/>
      <c r="C536" s="3"/>
      <c r="D536" s="3"/>
      <c r="E536" s="3"/>
      <c r="F536" s="3"/>
      <c r="G536" s="3"/>
      <c r="H536" s="3"/>
      <c r="I536" s="3"/>
    </row>
    <row r="537" spans="2:9" ht="13" x14ac:dyDescent="0.15">
      <c r="B537" s="3"/>
      <c r="C537" s="3"/>
      <c r="D537" s="3"/>
      <c r="E537" s="3"/>
      <c r="F537" s="3"/>
      <c r="G537" s="3"/>
      <c r="H537" s="3"/>
      <c r="I537" s="3"/>
    </row>
    <row r="538" spans="2:9" ht="13" x14ac:dyDescent="0.15">
      <c r="B538" s="3"/>
      <c r="C538" s="3"/>
      <c r="D538" s="3"/>
      <c r="E538" s="3"/>
      <c r="F538" s="3"/>
      <c r="G538" s="3"/>
      <c r="H538" s="3"/>
      <c r="I538" s="3"/>
    </row>
    <row r="539" spans="2:9" ht="13" x14ac:dyDescent="0.15">
      <c r="B539" s="3"/>
      <c r="C539" s="3"/>
      <c r="D539" s="3"/>
      <c r="E539" s="3"/>
      <c r="F539" s="3"/>
      <c r="G539" s="3"/>
      <c r="H539" s="3"/>
      <c r="I539" s="3"/>
    </row>
    <row r="540" spans="2:9" ht="13" x14ac:dyDescent="0.15">
      <c r="B540" s="3"/>
      <c r="C540" s="3"/>
      <c r="D540" s="3"/>
      <c r="E540" s="3"/>
      <c r="F540" s="3"/>
      <c r="G540" s="3"/>
      <c r="H540" s="3"/>
      <c r="I540" s="3"/>
    </row>
    <row r="541" spans="2:9" ht="13" x14ac:dyDescent="0.15">
      <c r="B541" s="3"/>
      <c r="C541" s="3"/>
      <c r="D541" s="3"/>
      <c r="E541" s="3"/>
      <c r="F541" s="3"/>
      <c r="G541" s="3"/>
      <c r="H541" s="3"/>
      <c r="I541" s="3"/>
    </row>
    <row r="542" spans="2:9" ht="13" x14ac:dyDescent="0.15">
      <c r="B542" s="3"/>
      <c r="C542" s="3"/>
      <c r="D542" s="3"/>
      <c r="E542" s="3"/>
      <c r="F542" s="3"/>
      <c r="G542" s="3"/>
      <c r="H542" s="3"/>
      <c r="I542" s="3"/>
    </row>
    <row r="543" spans="2:9" ht="13" x14ac:dyDescent="0.15">
      <c r="B543" s="3"/>
      <c r="C543" s="3"/>
      <c r="D543" s="3"/>
      <c r="E543" s="3"/>
      <c r="F543" s="3"/>
      <c r="G543" s="3"/>
      <c r="H543" s="3"/>
      <c r="I543" s="3"/>
    </row>
    <row r="544" spans="2:9" ht="13" x14ac:dyDescent="0.15">
      <c r="B544" s="3"/>
      <c r="C544" s="3"/>
      <c r="D544" s="3"/>
      <c r="E544" s="3"/>
      <c r="F544" s="3"/>
      <c r="G544" s="3"/>
      <c r="H544" s="3"/>
      <c r="I544" s="3"/>
    </row>
    <row r="545" spans="2:9" ht="13" x14ac:dyDescent="0.15">
      <c r="B545" s="3"/>
      <c r="C545" s="3"/>
      <c r="D545" s="3"/>
      <c r="E545" s="3"/>
      <c r="F545" s="3"/>
      <c r="G545" s="3"/>
      <c r="H545" s="3"/>
      <c r="I545" s="3"/>
    </row>
    <row r="546" spans="2:9" ht="13" x14ac:dyDescent="0.15">
      <c r="B546" s="3"/>
      <c r="C546" s="3"/>
      <c r="D546" s="3"/>
      <c r="E546" s="3"/>
      <c r="F546" s="3"/>
      <c r="G546" s="3"/>
      <c r="H546" s="3"/>
      <c r="I546" s="3"/>
    </row>
    <row r="547" spans="2:9" ht="13" x14ac:dyDescent="0.15">
      <c r="B547" s="3"/>
      <c r="C547" s="3"/>
      <c r="D547" s="3"/>
      <c r="E547" s="3"/>
      <c r="F547" s="3"/>
      <c r="G547" s="3"/>
      <c r="H547" s="3"/>
      <c r="I547" s="3"/>
    </row>
    <row r="548" spans="2:9" ht="13" x14ac:dyDescent="0.15">
      <c r="B548" s="3"/>
      <c r="C548" s="3"/>
      <c r="D548" s="3"/>
      <c r="E548" s="3"/>
      <c r="F548" s="3"/>
      <c r="G548" s="3"/>
      <c r="H548" s="3"/>
      <c r="I548" s="3"/>
    </row>
    <row r="549" spans="2:9" ht="13" x14ac:dyDescent="0.15">
      <c r="B549" s="3"/>
      <c r="C549" s="3"/>
      <c r="D549" s="3"/>
      <c r="E549" s="3"/>
      <c r="F549" s="3"/>
      <c r="G549" s="3"/>
      <c r="H549" s="3"/>
      <c r="I549" s="3"/>
    </row>
    <row r="550" spans="2:9" ht="13" x14ac:dyDescent="0.15">
      <c r="B550" s="3"/>
      <c r="C550" s="3"/>
      <c r="D550" s="3"/>
      <c r="E550" s="3"/>
      <c r="F550" s="3"/>
      <c r="G550" s="3"/>
      <c r="H550" s="3"/>
      <c r="I550" s="3"/>
    </row>
    <row r="551" spans="2:9" ht="13" x14ac:dyDescent="0.15">
      <c r="B551" s="3"/>
      <c r="C551" s="3"/>
      <c r="D551" s="3"/>
      <c r="E551" s="3"/>
      <c r="F551" s="3"/>
      <c r="G551" s="3"/>
      <c r="H551" s="3"/>
      <c r="I551" s="3"/>
    </row>
    <row r="552" spans="2:9" ht="13" x14ac:dyDescent="0.15">
      <c r="B552" s="3"/>
      <c r="C552" s="3"/>
      <c r="D552" s="3"/>
      <c r="E552" s="3"/>
      <c r="F552" s="3"/>
      <c r="G552" s="3"/>
      <c r="H552" s="3"/>
      <c r="I552" s="3"/>
    </row>
    <row r="553" spans="2:9" ht="13" x14ac:dyDescent="0.15">
      <c r="B553" s="3"/>
      <c r="C553" s="3"/>
      <c r="D553" s="3"/>
      <c r="E553" s="3"/>
      <c r="F553" s="3"/>
      <c r="G553" s="3"/>
      <c r="H553" s="3"/>
      <c r="I553" s="3"/>
    </row>
    <row r="554" spans="2:9" ht="13" x14ac:dyDescent="0.15">
      <c r="B554" s="3"/>
      <c r="C554" s="3"/>
      <c r="D554" s="3"/>
      <c r="E554" s="3"/>
      <c r="F554" s="3"/>
      <c r="G554" s="3"/>
      <c r="H554" s="3"/>
      <c r="I554" s="3"/>
    </row>
    <row r="555" spans="2:9" ht="13" x14ac:dyDescent="0.15">
      <c r="B555" s="3"/>
      <c r="C555" s="3"/>
      <c r="D555" s="3"/>
      <c r="E555" s="3"/>
      <c r="F555" s="3"/>
      <c r="G555" s="3"/>
      <c r="H555" s="3"/>
      <c r="I555" s="3"/>
    </row>
    <row r="556" spans="2:9" ht="13" x14ac:dyDescent="0.15">
      <c r="B556" s="3"/>
      <c r="C556" s="3"/>
      <c r="D556" s="3"/>
      <c r="E556" s="3"/>
      <c r="F556" s="3"/>
      <c r="G556" s="3"/>
      <c r="H556" s="3"/>
      <c r="I556" s="3"/>
    </row>
    <row r="557" spans="2:9" ht="13" x14ac:dyDescent="0.15">
      <c r="B557" s="3"/>
      <c r="C557" s="3"/>
      <c r="D557" s="3"/>
      <c r="E557" s="3"/>
      <c r="F557" s="3"/>
      <c r="G557" s="3"/>
      <c r="H557" s="3"/>
      <c r="I557" s="3"/>
    </row>
    <row r="558" spans="2:9" ht="13" x14ac:dyDescent="0.15">
      <c r="B558" s="3"/>
      <c r="C558" s="3"/>
      <c r="D558" s="3"/>
      <c r="E558" s="3"/>
      <c r="F558" s="3"/>
      <c r="G558" s="3"/>
      <c r="H558" s="3"/>
      <c r="I558" s="3"/>
    </row>
    <row r="559" spans="2:9" ht="13" x14ac:dyDescent="0.15">
      <c r="B559" s="3"/>
      <c r="C559" s="3"/>
      <c r="D559" s="3"/>
      <c r="E559" s="3"/>
      <c r="F559" s="3"/>
      <c r="G559" s="3"/>
      <c r="H559" s="3"/>
      <c r="I559" s="3"/>
    </row>
    <row r="560" spans="2:9" ht="13" x14ac:dyDescent="0.15">
      <c r="B560" s="3"/>
      <c r="C560" s="3"/>
      <c r="D560" s="3"/>
      <c r="E560" s="3"/>
      <c r="F560" s="3"/>
      <c r="G560" s="3"/>
      <c r="H560" s="3"/>
      <c r="I560" s="3"/>
    </row>
    <row r="561" spans="2:9" ht="13" x14ac:dyDescent="0.15">
      <c r="B561" s="3"/>
      <c r="C561" s="3"/>
      <c r="D561" s="3"/>
      <c r="E561" s="3"/>
      <c r="F561" s="3"/>
      <c r="G561" s="3"/>
      <c r="H561" s="3"/>
      <c r="I561" s="3"/>
    </row>
    <row r="562" spans="2:9" ht="13" x14ac:dyDescent="0.15">
      <c r="B562" s="3"/>
      <c r="C562" s="3"/>
      <c r="D562" s="3"/>
      <c r="E562" s="3"/>
      <c r="F562" s="3"/>
      <c r="G562" s="3"/>
      <c r="H562" s="3"/>
      <c r="I562" s="3"/>
    </row>
    <row r="563" spans="2:9" ht="13" x14ac:dyDescent="0.15">
      <c r="B563" s="3"/>
      <c r="C563" s="3"/>
      <c r="D563" s="3"/>
      <c r="E563" s="3"/>
      <c r="F563" s="3"/>
      <c r="G563" s="3"/>
      <c r="H563" s="3"/>
      <c r="I563" s="3"/>
    </row>
    <row r="564" spans="2:9" ht="13" x14ac:dyDescent="0.15">
      <c r="B564" s="3"/>
      <c r="C564" s="3"/>
      <c r="D564" s="3"/>
      <c r="E564" s="3"/>
      <c r="F564" s="3"/>
      <c r="G564" s="3"/>
      <c r="H564" s="3"/>
      <c r="I564" s="3"/>
    </row>
    <row r="565" spans="2:9" ht="13" x14ac:dyDescent="0.15">
      <c r="B565" s="3"/>
      <c r="C565" s="3"/>
      <c r="D565" s="3"/>
      <c r="E565" s="3"/>
      <c r="F565" s="3"/>
      <c r="G565" s="3"/>
      <c r="H565" s="3"/>
      <c r="I565" s="3"/>
    </row>
    <row r="566" spans="2:9" ht="13" x14ac:dyDescent="0.15">
      <c r="B566" s="3"/>
      <c r="C566" s="3"/>
      <c r="D566" s="3"/>
      <c r="E566" s="3"/>
      <c r="F566" s="3"/>
      <c r="G566" s="3"/>
      <c r="H566" s="3"/>
      <c r="I566" s="3"/>
    </row>
    <row r="567" spans="2:9" ht="13" x14ac:dyDescent="0.15">
      <c r="B567" s="3"/>
      <c r="C567" s="3"/>
      <c r="D567" s="3"/>
      <c r="E567" s="3"/>
      <c r="F567" s="3"/>
      <c r="G567" s="3"/>
      <c r="H567" s="3"/>
      <c r="I567" s="3"/>
    </row>
    <row r="568" spans="2:9" ht="13" x14ac:dyDescent="0.15">
      <c r="B568" s="3"/>
      <c r="C568" s="3"/>
      <c r="D568" s="3"/>
      <c r="E568" s="3"/>
      <c r="F568" s="3"/>
      <c r="G568" s="3"/>
      <c r="H568" s="3"/>
      <c r="I568" s="3"/>
    </row>
    <row r="569" spans="2:9" ht="13" x14ac:dyDescent="0.15">
      <c r="B569" s="3"/>
      <c r="C569" s="3"/>
      <c r="D569" s="3"/>
      <c r="E569" s="3"/>
      <c r="F569" s="3"/>
      <c r="G569" s="3"/>
      <c r="H569" s="3"/>
      <c r="I569" s="3"/>
    </row>
    <row r="570" spans="2:9" ht="13" x14ac:dyDescent="0.15">
      <c r="B570" s="3"/>
      <c r="C570" s="3"/>
      <c r="D570" s="3"/>
      <c r="E570" s="3"/>
      <c r="F570" s="3"/>
      <c r="G570" s="3"/>
      <c r="H570" s="3"/>
      <c r="I570" s="3"/>
    </row>
    <row r="571" spans="2:9" ht="13" x14ac:dyDescent="0.15">
      <c r="B571" s="3"/>
      <c r="C571" s="3"/>
      <c r="D571" s="3"/>
      <c r="E571" s="3"/>
      <c r="F571" s="3"/>
      <c r="G571" s="3"/>
      <c r="H571" s="3"/>
      <c r="I571" s="3"/>
    </row>
    <row r="572" spans="2:9" ht="13" x14ac:dyDescent="0.15">
      <c r="B572" s="3"/>
      <c r="C572" s="3"/>
      <c r="D572" s="3"/>
      <c r="E572" s="3"/>
      <c r="F572" s="3"/>
      <c r="G572" s="3"/>
      <c r="H572" s="3"/>
      <c r="I572" s="3"/>
    </row>
    <row r="573" spans="2:9" ht="13" x14ac:dyDescent="0.15">
      <c r="B573" s="3"/>
      <c r="C573" s="3"/>
      <c r="D573" s="3"/>
      <c r="E573" s="3"/>
      <c r="F573" s="3"/>
      <c r="G573" s="3"/>
      <c r="H573" s="3"/>
      <c r="I573" s="3"/>
    </row>
    <row r="574" spans="2:9" ht="13" x14ac:dyDescent="0.15">
      <c r="B574" s="3"/>
      <c r="C574" s="3"/>
      <c r="D574" s="3"/>
      <c r="E574" s="3"/>
      <c r="F574" s="3"/>
      <c r="G574" s="3"/>
      <c r="H574" s="3"/>
      <c r="I574" s="3"/>
    </row>
    <row r="575" spans="2:9" ht="13" x14ac:dyDescent="0.15">
      <c r="B575" s="3"/>
      <c r="C575" s="3"/>
      <c r="D575" s="3"/>
      <c r="E575" s="3"/>
      <c r="F575" s="3"/>
      <c r="G575" s="3"/>
      <c r="H575" s="3"/>
      <c r="I575" s="3"/>
    </row>
    <row r="576" spans="2:9" ht="13" x14ac:dyDescent="0.15">
      <c r="B576" s="3"/>
      <c r="C576" s="3"/>
      <c r="D576" s="3"/>
      <c r="E576" s="3"/>
      <c r="F576" s="3"/>
      <c r="G576" s="3"/>
      <c r="H576" s="3"/>
      <c r="I576" s="3"/>
    </row>
    <row r="577" spans="2:9" ht="13" x14ac:dyDescent="0.15">
      <c r="B577" s="3"/>
      <c r="C577" s="3"/>
      <c r="D577" s="3"/>
      <c r="E577" s="3"/>
      <c r="F577" s="3"/>
      <c r="G577" s="3"/>
      <c r="H577" s="3"/>
      <c r="I577" s="3"/>
    </row>
    <row r="578" spans="2:9" ht="13" x14ac:dyDescent="0.15">
      <c r="B578" s="3"/>
      <c r="C578" s="3"/>
      <c r="D578" s="3"/>
      <c r="E578" s="3"/>
      <c r="F578" s="3"/>
      <c r="G578" s="3"/>
      <c r="H578" s="3"/>
      <c r="I578" s="3"/>
    </row>
    <row r="579" spans="2:9" ht="13" x14ac:dyDescent="0.15">
      <c r="B579" s="3"/>
      <c r="C579" s="3"/>
      <c r="D579" s="3"/>
      <c r="E579" s="3"/>
      <c r="F579" s="3"/>
      <c r="G579" s="3"/>
      <c r="H579" s="3"/>
      <c r="I579" s="3"/>
    </row>
    <row r="580" spans="2:9" ht="13" x14ac:dyDescent="0.15">
      <c r="B580" s="3"/>
      <c r="C580" s="3"/>
      <c r="D580" s="3"/>
      <c r="E580" s="3"/>
      <c r="F580" s="3"/>
      <c r="G580" s="3"/>
      <c r="H580" s="3"/>
      <c r="I580" s="3"/>
    </row>
    <row r="581" spans="2:9" ht="13" x14ac:dyDescent="0.15">
      <c r="B581" s="3"/>
      <c r="C581" s="3"/>
      <c r="D581" s="3"/>
      <c r="E581" s="3"/>
      <c r="F581" s="3"/>
      <c r="G581" s="3"/>
      <c r="H581" s="3"/>
      <c r="I581" s="3"/>
    </row>
    <row r="582" spans="2:9" ht="13" x14ac:dyDescent="0.15">
      <c r="B582" s="3"/>
      <c r="C582" s="3"/>
      <c r="D582" s="3"/>
      <c r="E582" s="3"/>
      <c r="F582" s="3"/>
      <c r="G582" s="3"/>
      <c r="H582" s="3"/>
      <c r="I582" s="3"/>
    </row>
    <row r="583" spans="2:9" ht="13" x14ac:dyDescent="0.15">
      <c r="B583" s="3"/>
      <c r="C583" s="3"/>
      <c r="D583" s="3"/>
      <c r="E583" s="3"/>
      <c r="F583" s="3"/>
      <c r="G583" s="3"/>
      <c r="H583" s="3"/>
      <c r="I583" s="3"/>
    </row>
    <row r="584" spans="2:9" ht="13" x14ac:dyDescent="0.15">
      <c r="B584" s="3"/>
      <c r="C584" s="3"/>
      <c r="D584" s="3"/>
      <c r="E584" s="3"/>
      <c r="F584" s="3"/>
      <c r="G584" s="3"/>
      <c r="H584" s="3"/>
      <c r="I584" s="3"/>
    </row>
    <row r="585" spans="2:9" ht="13" x14ac:dyDescent="0.15">
      <c r="B585" s="3"/>
      <c r="C585" s="3"/>
      <c r="D585" s="3"/>
      <c r="E585" s="3"/>
      <c r="F585" s="3"/>
      <c r="G585" s="3"/>
      <c r="H585" s="3"/>
      <c r="I585" s="3"/>
    </row>
    <row r="586" spans="2:9" ht="13" x14ac:dyDescent="0.15">
      <c r="B586" s="3"/>
      <c r="C586" s="3"/>
      <c r="D586" s="3"/>
      <c r="E586" s="3"/>
      <c r="F586" s="3"/>
      <c r="G586" s="3"/>
      <c r="H586" s="3"/>
      <c r="I586" s="3"/>
    </row>
    <row r="587" spans="2:9" ht="13" x14ac:dyDescent="0.15">
      <c r="B587" s="3"/>
      <c r="C587" s="3"/>
      <c r="D587" s="3"/>
      <c r="E587" s="3"/>
      <c r="F587" s="3"/>
      <c r="G587" s="3"/>
      <c r="H587" s="3"/>
      <c r="I587" s="3"/>
    </row>
    <row r="588" spans="2:9" ht="13" x14ac:dyDescent="0.15">
      <c r="B588" s="3"/>
      <c r="C588" s="3"/>
      <c r="D588" s="3"/>
      <c r="E588" s="3"/>
      <c r="F588" s="3"/>
      <c r="G588" s="3"/>
      <c r="H588" s="3"/>
      <c r="I588" s="3"/>
    </row>
    <row r="589" spans="2:9" ht="13" x14ac:dyDescent="0.15">
      <c r="B589" s="3"/>
      <c r="C589" s="3"/>
      <c r="D589" s="3"/>
      <c r="E589" s="3"/>
      <c r="F589" s="3"/>
      <c r="G589" s="3"/>
      <c r="H589" s="3"/>
      <c r="I589" s="3"/>
    </row>
    <row r="590" spans="2:9" ht="13" x14ac:dyDescent="0.15">
      <c r="B590" s="3"/>
      <c r="C590" s="3"/>
      <c r="D590" s="3"/>
      <c r="E590" s="3"/>
      <c r="F590" s="3"/>
      <c r="G590" s="3"/>
      <c r="H590" s="3"/>
      <c r="I590" s="3"/>
    </row>
    <row r="591" spans="2:9" ht="13" x14ac:dyDescent="0.15">
      <c r="B591" s="3"/>
      <c r="C591" s="3"/>
      <c r="D591" s="3"/>
      <c r="E591" s="3"/>
      <c r="F591" s="3"/>
      <c r="G591" s="3"/>
      <c r="H591" s="3"/>
      <c r="I591" s="3"/>
    </row>
    <row r="592" spans="2:9" ht="13" x14ac:dyDescent="0.15">
      <c r="B592" s="3"/>
      <c r="C592" s="3"/>
      <c r="D592" s="3"/>
      <c r="E592" s="3"/>
      <c r="F592" s="3"/>
      <c r="G592" s="3"/>
      <c r="H592" s="3"/>
      <c r="I592" s="3"/>
    </row>
    <row r="593" spans="2:9" ht="13" x14ac:dyDescent="0.15">
      <c r="B593" s="3"/>
      <c r="C593" s="3"/>
      <c r="D593" s="3"/>
      <c r="E593" s="3"/>
      <c r="F593" s="3"/>
      <c r="G593" s="3"/>
      <c r="H593" s="3"/>
      <c r="I593" s="3"/>
    </row>
    <row r="594" spans="2:9" ht="13" x14ac:dyDescent="0.15">
      <c r="B594" s="3"/>
      <c r="C594" s="3"/>
      <c r="D594" s="3"/>
      <c r="E594" s="3"/>
      <c r="F594" s="3"/>
      <c r="G594" s="3"/>
      <c r="H594" s="3"/>
      <c r="I594" s="3"/>
    </row>
    <row r="595" spans="2:9" ht="13" x14ac:dyDescent="0.15">
      <c r="B595" s="3"/>
      <c r="C595" s="3"/>
      <c r="D595" s="3"/>
      <c r="E595" s="3"/>
      <c r="F595" s="3"/>
      <c r="G595" s="3"/>
      <c r="H595" s="3"/>
      <c r="I595" s="3"/>
    </row>
    <row r="596" spans="2:9" ht="13" x14ac:dyDescent="0.15">
      <c r="B596" s="3"/>
      <c r="C596" s="3"/>
      <c r="D596" s="3"/>
      <c r="E596" s="3"/>
      <c r="F596" s="3"/>
      <c r="G596" s="3"/>
      <c r="H596" s="3"/>
      <c r="I596" s="3"/>
    </row>
    <row r="597" spans="2:9" ht="13" x14ac:dyDescent="0.15">
      <c r="B597" s="3"/>
      <c r="C597" s="3"/>
      <c r="D597" s="3"/>
      <c r="E597" s="3"/>
      <c r="F597" s="3"/>
      <c r="G597" s="3"/>
      <c r="H597" s="3"/>
      <c r="I597" s="3"/>
    </row>
    <row r="598" spans="2:9" ht="13" x14ac:dyDescent="0.15">
      <c r="B598" s="3"/>
      <c r="C598" s="3"/>
      <c r="D598" s="3"/>
      <c r="E598" s="3"/>
      <c r="F598" s="3"/>
      <c r="G598" s="3"/>
      <c r="H598" s="3"/>
      <c r="I598" s="3"/>
    </row>
    <row r="599" spans="2:9" ht="13" x14ac:dyDescent="0.15">
      <c r="B599" s="3"/>
      <c r="C599" s="3"/>
      <c r="D599" s="3"/>
      <c r="E599" s="3"/>
      <c r="F599" s="3"/>
      <c r="G599" s="3"/>
      <c r="H599" s="3"/>
      <c r="I599" s="3"/>
    </row>
    <row r="600" spans="2:9" ht="13" x14ac:dyDescent="0.15">
      <c r="B600" s="3"/>
      <c r="C600" s="3"/>
      <c r="D600" s="3"/>
      <c r="E600" s="3"/>
      <c r="F600" s="3"/>
      <c r="G600" s="3"/>
      <c r="H600" s="3"/>
      <c r="I600" s="3"/>
    </row>
    <row r="601" spans="2:9" ht="13" x14ac:dyDescent="0.15">
      <c r="B601" s="3"/>
      <c r="C601" s="3"/>
      <c r="D601" s="3"/>
      <c r="E601" s="3"/>
      <c r="F601" s="3"/>
      <c r="G601" s="3"/>
      <c r="H601" s="3"/>
      <c r="I601" s="3"/>
    </row>
    <row r="602" spans="2:9" ht="13" x14ac:dyDescent="0.15">
      <c r="B602" s="3"/>
      <c r="C602" s="3"/>
      <c r="D602" s="3"/>
      <c r="E602" s="3"/>
      <c r="F602" s="3"/>
      <c r="G602" s="3"/>
      <c r="H602" s="3"/>
      <c r="I602" s="3"/>
    </row>
    <row r="603" spans="2:9" ht="13" x14ac:dyDescent="0.15">
      <c r="B603" s="3"/>
      <c r="C603" s="3"/>
      <c r="D603" s="3"/>
      <c r="E603" s="3"/>
      <c r="F603" s="3"/>
      <c r="G603" s="3"/>
      <c r="H603" s="3"/>
      <c r="I603" s="3"/>
    </row>
    <row r="604" spans="2:9" ht="13" x14ac:dyDescent="0.15">
      <c r="B604" s="3"/>
      <c r="C604" s="3"/>
      <c r="D604" s="3"/>
      <c r="E604" s="3"/>
      <c r="F604" s="3"/>
      <c r="G604" s="3"/>
      <c r="H604" s="3"/>
      <c r="I604" s="3"/>
    </row>
    <row r="605" spans="2:9" ht="13" x14ac:dyDescent="0.15">
      <c r="B605" s="3"/>
      <c r="C605" s="3"/>
      <c r="D605" s="3"/>
      <c r="E605" s="3"/>
      <c r="F605" s="3"/>
      <c r="G605" s="3"/>
      <c r="H605" s="3"/>
      <c r="I605" s="3"/>
    </row>
    <row r="606" spans="2:9" ht="13" x14ac:dyDescent="0.15">
      <c r="B606" s="3"/>
      <c r="C606" s="3"/>
      <c r="D606" s="3"/>
      <c r="E606" s="3"/>
      <c r="F606" s="3"/>
      <c r="G606" s="3"/>
      <c r="H606" s="3"/>
      <c r="I606" s="3"/>
    </row>
    <row r="607" spans="2:9" ht="13" x14ac:dyDescent="0.15">
      <c r="B607" s="3"/>
      <c r="C607" s="3"/>
      <c r="D607" s="3"/>
      <c r="E607" s="3"/>
      <c r="F607" s="3"/>
      <c r="G607" s="3"/>
      <c r="H607" s="3"/>
      <c r="I607" s="3"/>
    </row>
    <row r="608" spans="2:9" ht="13" x14ac:dyDescent="0.15">
      <c r="B608" s="3"/>
      <c r="C608" s="3"/>
      <c r="D608" s="3"/>
      <c r="E608" s="3"/>
      <c r="F608" s="3"/>
      <c r="G608" s="3"/>
      <c r="H608" s="3"/>
      <c r="I608" s="3"/>
    </row>
    <row r="609" spans="2:9" ht="13" x14ac:dyDescent="0.15">
      <c r="B609" s="3"/>
      <c r="C609" s="3"/>
      <c r="D609" s="3"/>
      <c r="E609" s="3"/>
      <c r="F609" s="3"/>
      <c r="G609" s="3"/>
      <c r="H609" s="3"/>
      <c r="I609" s="3"/>
    </row>
    <row r="610" spans="2:9" ht="13" x14ac:dyDescent="0.15">
      <c r="B610" s="3"/>
      <c r="C610" s="3"/>
      <c r="D610" s="3"/>
      <c r="E610" s="3"/>
      <c r="F610" s="3"/>
      <c r="G610" s="3"/>
      <c r="H610" s="3"/>
      <c r="I610" s="3"/>
    </row>
    <row r="611" spans="2:9" ht="13" x14ac:dyDescent="0.15">
      <c r="B611" s="3"/>
      <c r="C611" s="3"/>
      <c r="D611" s="3"/>
      <c r="E611" s="3"/>
      <c r="F611" s="3"/>
      <c r="G611" s="3"/>
      <c r="H611" s="3"/>
      <c r="I611" s="3"/>
    </row>
    <row r="612" spans="2:9" ht="13" x14ac:dyDescent="0.15">
      <c r="B612" s="3"/>
      <c r="C612" s="3"/>
      <c r="D612" s="3"/>
      <c r="E612" s="3"/>
      <c r="F612" s="3"/>
      <c r="G612" s="3"/>
      <c r="H612" s="3"/>
      <c r="I612" s="3"/>
    </row>
    <row r="613" spans="2:9" ht="13" x14ac:dyDescent="0.15">
      <c r="B613" s="3"/>
      <c r="C613" s="3"/>
      <c r="D613" s="3"/>
      <c r="E613" s="3"/>
      <c r="F613" s="3"/>
      <c r="G613" s="3"/>
      <c r="H613" s="3"/>
      <c r="I613" s="3"/>
    </row>
    <row r="614" spans="2:9" ht="13" x14ac:dyDescent="0.15">
      <c r="B614" s="3"/>
      <c r="C614" s="3"/>
      <c r="D614" s="3"/>
      <c r="E614" s="3"/>
      <c r="F614" s="3"/>
      <c r="G614" s="3"/>
      <c r="H614" s="3"/>
      <c r="I614" s="3"/>
    </row>
    <row r="615" spans="2:9" ht="13" x14ac:dyDescent="0.15">
      <c r="B615" s="3"/>
      <c r="C615" s="3"/>
      <c r="D615" s="3"/>
      <c r="E615" s="3"/>
      <c r="F615" s="3"/>
      <c r="G615" s="3"/>
      <c r="H615" s="3"/>
      <c r="I615" s="3"/>
    </row>
    <row r="616" spans="2:9" ht="13" x14ac:dyDescent="0.15">
      <c r="B616" s="3"/>
      <c r="C616" s="3"/>
      <c r="D616" s="3"/>
      <c r="E616" s="3"/>
      <c r="F616" s="3"/>
      <c r="G616" s="3"/>
      <c r="H616" s="3"/>
      <c r="I616" s="3"/>
    </row>
    <row r="617" spans="2:9" ht="13" x14ac:dyDescent="0.15">
      <c r="B617" s="3"/>
      <c r="C617" s="3"/>
      <c r="D617" s="3"/>
      <c r="E617" s="3"/>
      <c r="F617" s="3"/>
      <c r="G617" s="3"/>
      <c r="H617" s="3"/>
      <c r="I617" s="3"/>
    </row>
    <row r="618" spans="2:9" ht="13" x14ac:dyDescent="0.15">
      <c r="B618" s="3"/>
      <c r="C618" s="3"/>
      <c r="D618" s="3"/>
      <c r="E618" s="3"/>
      <c r="F618" s="3"/>
      <c r="G618" s="3"/>
      <c r="H618" s="3"/>
      <c r="I618" s="3"/>
    </row>
    <row r="619" spans="2:9" ht="13" x14ac:dyDescent="0.15">
      <c r="B619" s="3"/>
      <c r="C619" s="3"/>
      <c r="D619" s="3"/>
      <c r="E619" s="3"/>
      <c r="F619" s="3"/>
      <c r="G619" s="3"/>
      <c r="H619" s="3"/>
      <c r="I619" s="3"/>
    </row>
    <row r="620" spans="2:9" ht="13" x14ac:dyDescent="0.15">
      <c r="B620" s="3"/>
      <c r="C620" s="3"/>
      <c r="D620" s="3"/>
      <c r="E620" s="3"/>
      <c r="F620" s="3"/>
      <c r="G620" s="3"/>
      <c r="H620" s="3"/>
      <c r="I620" s="3"/>
    </row>
    <row r="621" spans="2:9" ht="13" x14ac:dyDescent="0.15">
      <c r="B621" s="3"/>
      <c r="C621" s="3"/>
      <c r="D621" s="3"/>
      <c r="E621" s="3"/>
      <c r="F621" s="3"/>
      <c r="G621" s="3"/>
      <c r="H621" s="3"/>
      <c r="I621" s="3"/>
    </row>
    <row r="622" spans="2:9" ht="13" x14ac:dyDescent="0.15">
      <c r="B622" s="3"/>
      <c r="C622" s="3"/>
      <c r="D622" s="3"/>
      <c r="E622" s="3"/>
      <c r="F622" s="3"/>
      <c r="G622" s="3"/>
      <c r="H622" s="3"/>
      <c r="I622" s="3"/>
    </row>
    <row r="623" spans="2:9" ht="13" x14ac:dyDescent="0.15">
      <c r="B623" s="3"/>
      <c r="C623" s="3"/>
      <c r="D623" s="3"/>
      <c r="E623" s="3"/>
      <c r="F623" s="3"/>
      <c r="G623" s="3"/>
      <c r="H623" s="3"/>
      <c r="I623" s="3"/>
    </row>
    <row r="624" spans="2:9" ht="13" x14ac:dyDescent="0.15">
      <c r="B624" s="3"/>
      <c r="C624" s="3"/>
      <c r="D624" s="3"/>
      <c r="E624" s="3"/>
      <c r="F624" s="3"/>
      <c r="G624" s="3"/>
      <c r="H624" s="3"/>
      <c r="I624" s="3"/>
    </row>
    <row r="625" spans="2:9" ht="13" x14ac:dyDescent="0.15">
      <c r="B625" s="3"/>
      <c r="C625" s="3"/>
      <c r="D625" s="3"/>
      <c r="E625" s="3"/>
      <c r="F625" s="3"/>
      <c r="G625" s="3"/>
      <c r="H625" s="3"/>
      <c r="I625" s="3"/>
    </row>
    <row r="626" spans="2:9" ht="13" x14ac:dyDescent="0.15">
      <c r="B626" s="3"/>
      <c r="C626" s="3"/>
      <c r="D626" s="3"/>
      <c r="E626" s="3"/>
      <c r="F626" s="3"/>
      <c r="G626" s="3"/>
      <c r="H626" s="3"/>
      <c r="I626" s="3"/>
    </row>
    <row r="627" spans="2:9" ht="13" x14ac:dyDescent="0.15">
      <c r="B627" s="3"/>
      <c r="C627" s="3"/>
      <c r="D627" s="3"/>
      <c r="E627" s="3"/>
      <c r="F627" s="3"/>
      <c r="G627" s="3"/>
      <c r="H627" s="3"/>
      <c r="I627" s="3"/>
    </row>
    <row r="628" spans="2:9" ht="13" x14ac:dyDescent="0.15">
      <c r="B628" s="3"/>
      <c r="C628" s="3"/>
      <c r="D628" s="3"/>
      <c r="E628" s="3"/>
      <c r="F628" s="3"/>
      <c r="G628" s="3"/>
      <c r="H628" s="3"/>
      <c r="I628" s="3"/>
    </row>
    <row r="629" spans="2:9" ht="13" x14ac:dyDescent="0.15">
      <c r="B629" s="3"/>
      <c r="C629" s="3"/>
      <c r="D629" s="3"/>
      <c r="E629" s="3"/>
      <c r="F629" s="3"/>
      <c r="G629" s="3"/>
      <c r="H629" s="3"/>
      <c r="I629" s="3"/>
    </row>
    <row r="630" spans="2:9" ht="13" x14ac:dyDescent="0.15">
      <c r="B630" s="3"/>
      <c r="C630" s="3"/>
      <c r="D630" s="3"/>
      <c r="E630" s="3"/>
      <c r="F630" s="3"/>
      <c r="G630" s="3"/>
      <c r="H630" s="3"/>
      <c r="I630" s="3"/>
    </row>
    <row r="631" spans="2:9" ht="13" x14ac:dyDescent="0.15">
      <c r="B631" s="3"/>
      <c r="C631" s="3"/>
      <c r="D631" s="3"/>
      <c r="E631" s="3"/>
      <c r="F631" s="3"/>
      <c r="G631" s="3"/>
      <c r="H631" s="3"/>
      <c r="I631" s="3"/>
    </row>
    <row r="632" spans="2:9" ht="13" x14ac:dyDescent="0.15">
      <c r="B632" s="3"/>
      <c r="C632" s="3"/>
      <c r="D632" s="3"/>
      <c r="E632" s="3"/>
      <c r="F632" s="3"/>
      <c r="G632" s="3"/>
      <c r="H632" s="3"/>
      <c r="I632" s="3"/>
    </row>
    <row r="633" spans="2:9" ht="13" x14ac:dyDescent="0.15">
      <c r="B633" s="3"/>
      <c r="C633" s="3"/>
      <c r="D633" s="3"/>
      <c r="E633" s="3"/>
      <c r="F633" s="3"/>
      <c r="G633" s="3"/>
      <c r="H633" s="3"/>
      <c r="I633" s="3"/>
    </row>
    <row r="634" spans="2:9" ht="13" x14ac:dyDescent="0.15">
      <c r="B634" s="3"/>
      <c r="C634" s="3"/>
      <c r="D634" s="3"/>
      <c r="E634" s="3"/>
      <c r="F634" s="3"/>
      <c r="G634" s="3"/>
      <c r="H634" s="3"/>
      <c r="I634" s="3"/>
    </row>
    <row r="635" spans="2:9" ht="13" x14ac:dyDescent="0.15">
      <c r="B635" s="3"/>
      <c r="C635" s="3"/>
      <c r="D635" s="3"/>
      <c r="E635" s="3"/>
      <c r="F635" s="3"/>
      <c r="G635" s="3"/>
      <c r="H635" s="3"/>
      <c r="I635" s="3"/>
    </row>
    <row r="636" spans="2:9" ht="13" x14ac:dyDescent="0.15">
      <c r="B636" s="3"/>
      <c r="C636" s="3"/>
      <c r="D636" s="3"/>
      <c r="E636" s="3"/>
      <c r="F636" s="3"/>
      <c r="G636" s="3"/>
      <c r="H636" s="3"/>
      <c r="I636" s="3"/>
    </row>
    <row r="637" spans="2:9" ht="13" x14ac:dyDescent="0.15">
      <c r="B637" s="3"/>
      <c r="C637" s="3"/>
      <c r="D637" s="3"/>
      <c r="E637" s="3"/>
      <c r="F637" s="3"/>
      <c r="G637" s="3"/>
      <c r="H637" s="3"/>
      <c r="I637" s="3"/>
    </row>
    <row r="638" spans="2:9" ht="13" x14ac:dyDescent="0.15">
      <c r="B638" s="3"/>
      <c r="C638" s="3"/>
      <c r="D638" s="3"/>
      <c r="E638" s="3"/>
      <c r="F638" s="3"/>
      <c r="G638" s="3"/>
      <c r="H638" s="3"/>
      <c r="I638" s="3"/>
    </row>
    <row r="639" spans="2:9" ht="13" x14ac:dyDescent="0.15">
      <c r="B639" s="3"/>
      <c r="C639" s="3"/>
      <c r="D639" s="3"/>
      <c r="E639" s="3"/>
      <c r="F639" s="3"/>
      <c r="G639" s="3"/>
      <c r="H639" s="3"/>
      <c r="I639" s="3"/>
    </row>
    <row r="640" spans="2:9" ht="13" x14ac:dyDescent="0.15">
      <c r="B640" s="3"/>
      <c r="C640" s="3"/>
      <c r="D640" s="3"/>
      <c r="E640" s="3"/>
      <c r="F640" s="3"/>
      <c r="G640" s="3"/>
      <c r="H640" s="3"/>
      <c r="I640" s="3"/>
    </row>
    <row r="641" spans="2:9" ht="13" x14ac:dyDescent="0.15">
      <c r="B641" s="3"/>
      <c r="C641" s="3"/>
      <c r="D641" s="3"/>
      <c r="E641" s="3"/>
      <c r="F641" s="3"/>
      <c r="G641" s="3"/>
      <c r="H641" s="3"/>
      <c r="I641" s="3"/>
    </row>
    <row r="642" spans="2:9" ht="13" x14ac:dyDescent="0.15">
      <c r="B642" s="3"/>
      <c r="C642" s="3"/>
      <c r="D642" s="3"/>
      <c r="E642" s="3"/>
      <c r="F642" s="3"/>
      <c r="G642" s="3"/>
      <c r="H642" s="3"/>
      <c r="I642" s="3"/>
    </row>
    <row r="643" spans="2:9" ht="13" x14ac:dyDescent="0.15">
      <c r="B643" s="3"/>
      <c r="C643" s="3"/>
      <c r="D643" s="3"/>
      <c r="E643" s="3"/>
      <c r="F643" s="3"/>
      <c r="G643" s="3"/>
      <c r="H643" s="3"/>
      <c r="I643" s="3"/>
    </row>
    <row r="644" spans="2:9" ht="13" x14ac:dyDescent="0.15">
      <c r="B644" s="3"/>
      <c r="C644" s="3"/>
      <c r="D644" s="3"/>
      <c r="E644" s="3"/>
      <c r="F644" s="3"/>
      <c r="G644" s="3"/>
      <c r="H644" s="3"/>
      <c r="I644" s="3"/>
    </row>
    <row r="645" spans="2:9" ht="13" x14ac:dyDescent="0.15">
      <c r="B645" s="3"/>
      <c r="C645" s="3"/>
      <c r="D645" s="3"/>
      <c r="E645" s="3"/>
      <c r="F645" s="3"/>
      <c r="G645" s="3"/>
      <c r="H645" s="3"/>
      <c r="I645" s="3"/>
    </row>
    <row r="646" spans="2:9" ht="13" x14ac:dyDescent="0.15">
      <c r="B646" s="3"/>
      <c r="C646" s="3"/>
      <c r="D646" s="3"/>
      <c r="E646" s="3"/>
      <c r="F646" s="3"/>
      <c r="G646" s="3"/>
      <c r="H646" s="3"/>
      <c r="I646" s="3"/>
    </row>
    <row r="647" spans="2:9" ht="13" x14ac:dyDescent="0.15">
      <c r="B647" s="3"/>
      <c r="C647" s="3"/>
      <c r="D647" s="3"/>
      <c r="E647" s="3"/>
      <c r="F647" s="3"/>
      <c r="G647" s="3"/>
      <c r="H647" s="3"/>
      <c r="I647" s="3"/>
    </row>
    <row r="648" spans="2:9" ht="13" x14ac:dyDescent="0.15">
      <c r="B648" s="3"/>
      <c r="C648" s="3"/>
      <c r="D648" s="3"/>
      <c r="E648" s="3"/>
      <c r="F648" s="3"/>
      <c r="G648" s="3"/>
      <c r="H648" s="3"/>
      <c r="I648" s="3"/>
    </row>
    <row r="649" spans="2:9" ht="13" x14ac:dyDescent="0.15">
      <c r="B649" s="3"/>
      <c r="C649" s="3"/>
      <c r="D649" s="3"/>
      <c r="E649" s="3"/>
      <c r="F649" s="3"/>
      <c r="G649" s="3"/>
      <c r="H649" s="3"/>
      <c r="I649" s="3"/>
    </row>
    <row r="650" spans="2:9" ht="13" x14ac:dyDescent="0.15">
      <c r="B650" s="3"/>
      <c r="C650" s="3"/>
      <c r="D650" s="3"/>
      <c r="E650" s="3"/>
      <c r="F650" s="3"/>
      <c r="G650" s="3"/>
      <c r="H650" s="3"/>
      <c r="I650" s="3"/>
    </row>
    <row r="651" spans="2:9" ht="13" x14ac:dyDescent="0.15">
      <c r="B651" s="3"/>
      <c r="C651" s="3"/>
      <c r="D651" s="3"/>
      <c r="E651" s="3"/>
      <c r="F651" s="3"/>
      <c r="G651" s="3"/>
      <c r="H651" s="3"/>
      <c r="I651" s="3"/>
    </row>
    <row r="652" spans="2:9" ht="13" x14ac:dyDescent="0.15">
      <c r="B652" s="3"/>
      <c r="C652" s="3"/>
      <c r="D652" s="3"/>
      <c r="E652" s="3"/>
      <c r="F652" s="3"/>
      <c r="G652" s="3"/>
      <c r="H652" s="3"/>
      <c r="I652" s="3"/>
    </row>
    <row r="653" spans="2:9" ht="13" x14ac:dyDescent="0.15">
      <c r="B653" s="3"/>
      <c r="C653" s="3"/>
      <c r="D653" s="3"/>
      <c r="E653" s="3"/>
      <c r="F653" s="3"/>
      <c r="G653" s="3"/>
      <c r="H653" s="3"/>
      <c r="I653" s="3"/>
    </row>
    <row r="654" spans="2:9" ht="13" x14ac:dyDescent="0.15">
      <c r="B654" s="3"/>
      <c r="C654" s="3"/>
      <c r="D654" s="3"/>
      <c r="E654" s="3"/>
      <c r="F654" s="3"/>
      <c r="G654" s="3"/>
      <c r="H654" s="3"/>
      <c r="I654" s="3"/>
    </row>
    <row r="655" spans="2:9" ht="13" x14ac:dyDescent="0.15">
      <c r="B655" s="3"/>
      <c r="C655" s="3"/>
      <c r="D655" s="3"/>
      <c r="E655" s="3"/>
      <c r="F655" s="3"/>
      <c r="G655" s="3"/>
      <c r="H655" s="3"/>
      <c r="I655" s="3"/>
    </row>
    <row r="656" spans="2:9" ht="13" x14ac:dyDescent="0.15">
      <c r="B656" s="3"/>
      <c r="C656" s="3"/>
      <c r="D656" s="3"/>
      <c r="E656" s="3"/>
      <c r="F656" s="3"/>
      <c r="G656" s="3"/>
      <c r="H656" s="3"/>
      <c r="I656" s="3"/>
    </row>
    <row r="657" spans="2:9" ht="13" x14ac:dyDescent="0.15">
      <c r="B657" s="3"/>
      <c r="C657" s="3"/>
      <c r="D657" s="3"/>
      <c r="E657" s="3"/>
      <c r="F657" s="3"/>
      <c r="G657" s="3"/>
      <c r="H657" s="3"/>
      <c r="I657" s="3"/>
    </row>
    <row r="658" spans="2:9" ht="13" x14ac:dyDescent="0.15">
      <c r="B658" s="3"/>
      <c r="C658" s="3"/>
      <c r="D658" s="3"/>
      <c r="E658" s="3"/>
      <c r="F658" s="3"/>
      <c r="G658" s="3"/>
      <c r="H658" s="3"/>
      <c r="I658" s="3"/>
    </row>
    <row r="659" spans="2:9" ht="13" x14ac:dyDescent="0.15">
      <c r="B659" s="3"/>
      <c r="C659" s="3"/>
      <c r="D659" s="3"/>
      <c r="E659" s="3"/>
      <c r="F659" s="3"/>
      <c r="G659" s="3"/>
      <c r="H659" s="3"/>
      <c r="I659" s="3"/>
    </row>
    <row r="660" spans="2:9" ht="13" x14ac:dyDescent="0.15">
      <c r="B660" s="3"/>
      <c r="C660" s="3"/>
      <c r="D660" s="3"/>
      <c r="E660" s="3"/>
      <c r="F660" s="3"/>
      <c r="G660" s="3"/>
      <c r="H660" s="3"/>
      <c r="I660" s="3"/>
    </row>
    <row r="661" spans="2:9" ht="13" x14ac:dyDescent="0.15">
      <c r="B661" s="3"/>
      <c r="C661" s="3"/>
      <c r="D661" s="3"/>
      <c r="E661" s="3"/>
      <c r="F661" s="3"/>
      <c r="G661" s="3"/>
      <c r="H661" s="3"/>
      <c r="I661" s="3"/>
    </row>
    <row r="662" spans="2:9" ht="13" x14ac:dyDescent="0.15">
      <c r="B662" s="3"/>
      <c r="C662" s="3"/>
      <c r="D662" s="3"/>
      <c r="E662" s="3"/>
      <c r="F662" s="3"/>
      <c r="G662" s="3"/>
      <c r="H662" s="3"/>
      <c r="I662" s="3"/>
    </row>
    <row r="663" spans="2:9" ht="13" x14ac:dyDescent="0.15">
      <c r="B663" s="3"/>
      <c r="C663" s="3"/>
      <c r="D663" s="3"/>
      <c r="E663" s="3"/>
      <c r="F663" s="3"/>
      <c r="G663" s="3"/>
      <c r="H663" s="3"/>
      <c r="I663" s="3"/>
    </row>
    <row r="664" spans="2:9" ht="13" x14ac:dyDescent="0.15">
      <c r="B664" s="3"/>
      <c r="C664" s="3"/>
      <c r="D664" s="3"/>
      <c r="E664" s="3"/>
      <c r="F664" s="3"/>
      <c r="G664" s="3"/>
      <c r="H664" s="3"/>
      <c r="I664" s="3"/>
    </row>
    <row r="665" spans="2:9" ht="13" x14ac:dyDescent="0.15">
      <c r="B665" s="3"/>
      <c r="C665" s="3"/>
      <c r="D665" s="3"/>
      <c r="E665" s="3"/>
      <c r="F665" s="3"/>
      <c r="G665" s="3"/>
      <c r="H665" s="3"/>
      <c r="I665" s="3"/>
    </row>
    <row r="666" spans="2:9" ht="13" x14ac:dyDescent="0.15">
      <c r="B666" s="3"/>
      <c r="C666" s="3"/>
      <c r="D666" s="3"/>
      <c r="E666" s="3"/>
      <c r="F666" s="3"/>
      <c r="G666" s="3"/>
      <c r="H666" s="3"/>
      <c r="I666" s="3"/>
    </row>
    <row r="667" spans="2:9" ht="13" x14ac:dyDescent="0.15">
      <c r="B667" s="3"/>
      <c r="C667" s="3"/>
      <c r="D667" s="3"/>
      <c r="E667" s="3"/>
      <c r="F667" s="3"/>
      <c r="G667" s="3"/>
      <c r="H667" s="3"/>
      <c r="I667" s="3"/>
    </row>
    <row r="668" spans="2:9" ht="13" x14ac:dyDescent="0.15">
      <c r="B668" s="3"/>
      <c r="C668" s="3"/>
      <c r="D668" s="3"/>
      <c r="E668" s="3"/>
      <c r="F668" s="3"/>
      <c r="G668" s="3"/>
      <c r="H668" s="3"/>
      <c r="I668" s="3"/>
    </row>
    <row r="669" spans="2:9" ht="13" x14ac:dyDescent="0.15">
      <c r="B669" s="3"/>
      <c r="C669" s="3"/>
      <c r="D669" s="3"/>
      <c r="E669" s="3"/>
      <c r="F669" s="3"/>
      <c r="G669" s="3"/>
      <c r="H669" s="3"/>
      <c r="I669" s="3"/>
    </row>
    <row r="670" spans="2:9" ht="13" x14ac:dyDescent="0.15">
      <c r="B670" s="3"/>
      <c r="C670" s="3"/>
      <c r="D670" s="3"/>
      <c r="E670" s="3"/>
      <c r="F670" s="3"/>
      <c r="G670" s="3"/>
      <c r="H670" s="3"/>
      <c r="I670" s="3"/>
    </row>
    <row r="671" spans="2:9" ht="13" x14ac:dyDescent="0.15">
      <c r="B671" s="3"/>
      <c r="C671" s="3"/>
      <c r="D671" s="3"/>
      <c r="E671" s="3"/>
      <c r="F671" s="3"/>
      <c r="G671" s="3"/>
      <c r="H671" s="3"/>
      <c r="I671" s="3"/>
    </row>
    <row r="672" spans="2:9" ht="13" x14ac:dyDescent="0.15">
      <c r="B672" s="3"/>
      <c r="C672" s="3"/>
      <c r="D672" s="3"/>
      <c r="E672" s="3"/>
      <c r="F672" s="3"/>
      <c r="G672" s="3"/>
      <c r="H672" s="3"/>
      <c r="I672" s="3"/>
    </row>
    <row r="673" spans="2:9" ht="13" x14ac:dyDescent="0.15">
      <c r="B673" s="3"/>
      <c r="C673" s="3"/>
      <c r="D673" s="3"/>
      <c r="E673" s="3"/>
      <c r="F673" s="3"/>
      <c r="G673" s="3"/>
      <c r="H673" s="3"/>
      <c r="I673" s="3"/>
    </row>
    <row r="674" spans="2:9" ht="13" x14ac:dyDescent="0.15">
      <c r="B674" s="3"/>
      <c r="C674" s="3"/>
      <c r="D674" s="3"/>
      <c r="E674" s="3"/>
      <c r="F674" s="3"/>
      <c r="G674" s="3"/>
      <c r="H674" s="3"/>
      <c r="I674" s="3"/>
    </row>
    <row r="675" spans="2:9" ht="13" x14ac:dyDescent="0.15">
      <c r="B675" s="3"/>
      <c r="C675" s="3"/>
      <c r="D675" s="3"/>
      <c r="E675" s="3"/>
      <c r="F675" s="3"/>
      <c r="G675" s="3"/>
      <c r="H675" s="3"/>
      <c r="I675" s="3"/>
    </row>
    <row r="676" spans="2:9" ht="13" x14ac:dyDescent="0.15">
      <c r="B676" s="3"/>
      <c r="C676" s="3"/>
      <c r="D676" s="3"/>
      <c r="E676" s="3"/>
      <c r="F676" s="3"/>
      <c r="G676" s="3"/>
      <c r="H676" s="3"/>
      <c r="I676" s="3"/>
    </row>
    <row r="677" spans="2:9" ht="13" x14ac:dyDescent="0.15">
      <c r="B677" s="3"/>
      <c r="C677" s="3"/>
      <c r="D677" s="3"/>
      <c r="E677" s="3"/>
      <c r="F677" s="3"/>
      <c r="G677" s="3"/>
      <c r="H677" s="3"/>
      <c r="I677" s="3"/>
    </row>
    <row r="678" spans="2:9" ht="13" x14ac:dyDescent="0.15">
      <c r="B678" s="3"/>
      <c r="C678" s="3"/>
      <c r="D678" s="3"/>
      <c r="E678" s="3"/>
      <c r="F678" s="3"/>
      <c r="G678" s="3"/>
      <c r="H678" s="3"/>
      <c r="I678" s="3"/>
    </row>
    <row r="679" spans="2:9" ht="13" x14ac:dyDescent="0.15">
      <c r="B679" s="3"/>
      <c r="C679" s="3"/>
      <c r="D679" s="3"/>
      <c r="E679" s="3"/>
      <c r="F679" s="3"/>
      <c r="G679" s="3"/>
      <c r="H679" s="3"/>
      <c r="I679" s="3"/>
    </row>
    <row r="680" spans="2:9" ht="13" x14ac:dyDescent="0.15">
      <c r="B680" s="3"/>
      <c r="C680" s="3"/>
      <c r="D680" s="3"/>
      <c r="E680" s="3"/>
      <c r="F680" s="3"/>
      <c r="G680" s="3"/>
      <c r="H680" s="3"/>
      <c r="I680" s="3"/>
    </row>
    <row r="681" spans="2:9" ht="13" x14ac:dyDescent="0.15">
      <c r="B681" s="3"/>
      <c r="C681" s="3"/>
      <c r="D681" s="3"/>
      <c r="E681" s="3"/>
      <c r="F681" s="3"/>
      <c r="G681" s="3"/>
      <c r="H681" s="3"/>
      <c r="I681" s="3"/>
    </row>
    <row r="682" spans="2:9" ht="13" x14ac:dyDescent="0.15">
      <c r="B682" s="3"/>
      <c r="C682" s="3"/>
      <c r="D682" s="3"/>
      <c r="E682" s="3"/>
      <c r="F682" s="3"/>
      <c r="G682" s="3"/>
      <c r="H682" s="3"/>
      <c r="I682" s="3"/>
    </row>
    <row r="683" spans="2:9" ht="13" x14ac:dyDescent="0.15">
      <c r="B683" s="3"/>
      <c r="C683" s="3"/>
      <c r="D683" s="3"/>
      <c r="E683" s="3"/>
      <c r="F683" s="3"/>
      <c r="G683" s="3"/>
      <c r="H683" s="3"/>
      <c r="I683" s="3"/>
    </row>
    <row r="684" spans="2:9" ht="13" x14ac:dyDescent="0.15">
      <c r="B684" s="3"/>
      <c r="C684" s="3"/>
      <c r="D684" s="3"/>
      <c r="E684" s="3"/>
      <c r="F684" s="3"/>
      <c r="G684" s="3"/>
      <c r="H684" s="3"/>
      <c r="I684" s="3"/>
    </row>
    <row r="685" spans="2:9" ht="13" x14ac:dyDescent="0.15">
      <c r="B685" s="3"/>
      <c r="C685" s="3"/>
      <c r="D685" s="3"/>
      <c r="E685" s="3"/>
      <c r="F685" s="3"/>
      <c r="G685" s="3"/>
      <c r="H685" s="3"/>
      <c r="I685" s="3"/>
    </row>
    <row r="686" spans="2:9" ht="13" x14ac:dyDescent="0.15">
      <c r="B686" s="3"/>
      <c r="C686" s="3"/>
      <c r="D686" s="3"/>
      <c r="E686" s="3"/>
      <c r="F686" s="3"/>
      <c r="G686" s="3"/>
      <c r="H686" s="3"/>
      <c r="I686" s="3"/>
    </row>
    <row r="687" spans="2:9" ht="13" x14ac:dyDescent="0.15">
      <c r="B687" s="3"/>
      <c r="C687" s="3"/>
      <c r="D687" s="3"/>
      <c r="E687" s="3"/>
      <c r="F687" s="3"/>
      <c r="G687" s="3"/>
      <c r="H687" s="3"/>
      <c r="I687" s="3"/>
    </row>
    <row r="688" spans="2:9" ht="13" x14ac:dyDescent="0.15">
      <c r="B688" s="3"/>
      <c r="C688" s="3"/>
      <c r="D688" s="3"/>
      <c r="E688" s="3"/>
      <c r="F688" s="3"/>
      <c r="G688" s="3"/>
      <c r="H688" s="3"/>
      <c r="I688" s="3"/>
    </row>
    <row r="689" spans="2:9" ht="13" x14ac:dyDescent="0.15">
      <c r="B689" s="3"/>
      <c r="C689" s="3"/>
      <c r="D689" s="3"/>
      <c r="E689" s="3"/>
      <c r="F689" s="3"/>
      <c r="G689" s="3"/>
      <c r="H689" s="3"/>
      <c r="I689" s="3"/>
    </row>
    <row r="690" spans="2:9" ht="13" x14ac:dyDescent="0.15">
      <c r="B690" s="3"/>
      <c r="C690" s="3"/>
      <c r="D690" s="3"/>
      <c r="E690" s="3"/>
      <c r="F690" s="3"/>
      <c r="G690" s="3"/>
      <c r="H690" s="3"/>
      <c r="I690" s="3"/>
    </row>
    <row r="691" spans="2:9" ht="13" x14ac:dyDescent="0.15">
      <c r="B691" s="3"/>
      <c r="C691" s="3"/>
      <c r="D691" s="3"/>
      <c r="E691" s="3"/>
      <c r="F691" s="3"/>
      <c r="G691" s="3"/>
      <c r="H691" s="3"/>
      <c r="I691" s="3"/>
    </row>
    <row r="692" spans="2:9" ht="13" x14ac:dyDescent="0.15">
      <c r="B692" s="3"/>
      <c r="C692" s="3"/>
      <c r="D692" s="3"/>
      <c r="E692" s="3"/>
      <c r="F692" s="3"/>
      <c r="G692" s="3"/>
      <c r="H692" s="3"/>
      <c r="I692" s="3"/>
    </row>
    <row r="693" spans="2:9" ht="13" x14ac:dyDescent="0.15">
      <c r="B693" s="3"/>
      <c r="C693" s="3"/>
      <c r="D693" s="3"/>
      <c r="E693" s="3"/>
      <c r="F693" s="3"/>
      <c r="G693" s="3"/>
      <c r="H693" s="3"/>
      <c r="I693" s="3"/>
    </row>
    <row r="694" spans="2:9" ht="13" x14ac:dyDescent="0.15">
      <c r="B694" s="3"/>
      <c r="C694" s="3"/>
      <c r="D694" s="3"/>
      <c r="E694" s="3"/>
      <c r="F694" s="3"/>
      <c r="G694" s="3"/>
      <c r="H694" s="3"/>
      <c r="I694" s="3"/>
    </row>
    <row r="695" spans="2:9" ht="13" x14ac:dyDescent="0.15">
      <c r="B695" s="3"/>
      <c r="C695" s="3"/>
      <c r="D695" s="3"/>
      <c r="E695" s="3"/>
      <c r="F695" s="3"/>
      <c r="G695" s="3"/>
      <c r="H695" s="3"/>
      <c r="I695" s="3"/>
    </row>
    <row r="696" spans="2:9" ht="13" x14ac:dyDescent="0.15">
      <c r="B696" s="3"/>
      <c r="C696" s="3"/>
      <c r="D696" s="3"/>
      <c r="E696" s="3"/>
      <c r="F696" s="3"/>
      <c r="G696" s="3"/>
      <c r="H696" s="3"/>
      <c r="I696" s="3"/>
    </row>
    <row r="697" spans="2:9" ht="13" x14ac:dyDescent="0.15">
      <c r="B697" s="3"/>
      <c r="C697" s="3"/>
      <c r="D697" s="3"/>
      <c r="E697" s="3"/>
      <c r="F697" s="3"/>
      <c r="G697" s="3"/>
      <c r="H697" s="3"/>
      <c r="I697" s="3"/>
    </row>
    <row r="698" spans="2:9" ht="13" x14ac:dyDescent="0.15">
      <c r="B698" s="3"/>
      <c r="C698" s="3"/>
      <c r="D698" s="3"/>
      <c r="E698" s="3"/>
      <c r="F698" s="3"/>
      <c r="G698" s="3"/>
      <c r="H698" s="3"/>
      <c r="I698" s="3"/>
    </row>
    <row r="699" spans="2:9" ht="13" x14ac:dyDescent="0.15">
      <c r="B699" s="3"/>
      <c r="C699" s="3"/>
      <c r="D699" s="3"/>
      <c r="E699" s="3"/>
      <c r="F699" s="3"/>
      <c r="G699" s="3"/>
      <c r="H699" s="3"/>
      <c r="I699" s="3"/>
    </row>
    <row r="700" spans="2:9" ht="13" x14ac:dyDescent="0.15">
      <c r="B700" s="3"/>
      <c r="C700" s="3"/>
      <c r="D700" s="3"/>
      <c r="E700" s="3"/>
      <c r="F700" s="3"/>
      <c r="G700" s="3"/>
      <c r="H700" s="3"/>
      <c r="I700" s="3"/>
    </row>
    <row r="701" spans="2:9" ht="13" x14ac:dyDescent="0.15">
      <c r="B701" s="3"/>
      <c r="C701" s="3"/>
      <c r="D701" s="3"/>
      <c r="E701" s="3"/>
      <c r="F701" s="3"/>
      <c r="G701" s="3"/>
      <c r="H701" s="3"/>
      <c r="I701" s="3"/>
    </row>
    <row r="702" spans="2:9" ht="13" x14ac:dyDescent="0.15">
      <c r="B702" s="3"/>
      <c r="C702" s="3"/>
      <c r="D702" s="3"/>
      <c r="E702" s="3"/>
      <c r="F702" s="3"/>
      <c r="G702" s="3"/>
      <c r="H702" s="3"/>
      <c r="I702" s="3"/>
    </row>
    <row r="703" spans="2:9" ht="13" x14ac:dyDescent="0.15">
      <c r="B703" s="3"/>
      <c r="C703" s="3"/>
      <c r="D703" s="3"/>
      <c r="E703" s="3"/>
      <c r="F703" s="3"/>
      <c r="G703" s="3"/>
      <c r="H703" s="3"/>
      <c r="I703" s="3"/>
    </row>
    <row r="704" spans="2:9" ht="13" x14ac:dyDescent="0.15">
      <c r="B704" s="3"/>
      <c r="C704" s="3"/>
      <c r="D704" s="3"/>
      <c r="E704" s="3"/>
      <c r="F704" s="3"/>
      <c r="G704" s="3"/>
      <c r="H704" s="3"/>
      <c r="I704" s="3"/>
    </row>
    <row r="705" spans="2:9" ht="13" x14ac:dyDescent="0.15">
      <c r="B705" s="3"/>
      <c r="C705" s="3"/>
      <c r="D705" s="3"/>
      <c r="E705" s="3"/>
      <c r="F705" s="3"/>
      <c r="G705" s="3"/>
      <c r="H705" s="3"/>
      <c r="I705" s="3"/>
    </row>
    <row r="706" spans="2:9" ht="13" x14ac:dyDescent="0.15">
      <c r="B706" s="3"/>
      <c r="C706" s="3"/>
      <c r="D706" s="3"/>
      <c r="E706" s="3"/>
      <c r="F706" s="3"/>
      <c r="G706" s="3"/>
      <c r="H706" s="3"/>
      <c r="I706" s="3"/>
    </row>
    <row r="707" spans="2:9" ht="13" x14ac:dyDescent="0.15">
      <c r="B707" s="3"/>
      <c r="C707" s="3"/>
      <c r="D707" s="3"/>
      <c r="E707" s="3"/>
      <c r="F707" s="3"/>
      <c r="G707" s="3"/>
      <c r="H707" s="3"/>
      <c r="I707" s="3"/>
    </row>
    <row r="708" spans="2:9" ht="13" x14ac:dyDescent="0.15">
      <c r="B708" s="3"/>
      <c r="C708" s="3"/>
      <c r="D708" s="3"/>
      <c r="E708" s="3"/>
      <c r="F708" s="3"/>
      <c r="G708" s="3"/>
      <c r="H708" s="3"/>
      <c r="I708" s="3"/>
    </row>
    <row r="709" spans="2:9" ht="13" x14ac:dyDescent="0.15">
      <c r="B709" s="3"/>
      <c r="C709" s="3"/>
      <c r="D709" s="3"/>
      <c r="E709" s="3"/>
      <c r="F709" s="3"/>
      <c r="G709" s="3"/>
      <c r="H709" s="3"/>
      <c r="I709" s="3"/>
    </row>
    <row r="710" spans="2:9" ht="13" x14ac:dyDescent="0.15">
      <c r="B710" s="3"/>
      <c r="C710" s="3"/>
      <c r="D710" s="3"/>
      <c r="E710" s="3"/>
      <c r="F710" s="3"/>
      <c r="G710" s="3"/>
      <c r="H710" s="3"/>
      <c r="I710" s="3"/>
    </row>
    <row r="711" spans="2:9" ht="13" x14ac:dyDescent="0.15">
      <c r="B711" s="3"/>
      <c r="C711" s="3"/>
      <c r="D711" s="3"/>
      <c r="E711" s="3"/>
      <c r="F711" s="3"/>
      <c r="G711" s="3"/>
      <c r="H711" s="3"/>
      <c r="I711" s="3"/>
    </row>
    <row r="712" spans="2:9" ht="13" x14ac:dyDescent="0.15">
      <c r="B712" s="3"/>
      <c r="C712" s="3"/>
      <c r="D712" s="3"/>
      <c r="E712" s="3"/>
      <c r="F712" s="3"/>
      <c r="G712" s="3"/>
      <c r="H712" s="3"/>
      <c r="I712" s="3"/>
    </row>
    <row r="713" spans="2:9" ht="13" x14ac:dyDescent="0.15">
      <c r="B713" s="3"/>
      <c r="C713" s="3"/>
      <c r="D713" s="3"/>
      <c r="E713" s="3"/>
      <c r="F713" s="3"/>
      <c r="G713" s="3"/>
      <c r="H713" s="3"/>
      <c r="I713" s="3"/>
    </row>
    <row r="714" spans="2:9" ht="13" x14ac:dyDescent="0.15">
      <c r="B714" s="3"/>
      <c r="C714" s="3"/>
      <c r="D714" s="3"/>
      <c r="E714" s="3"/>
      <c r="F714" s="3"/>
      <c r="G714" s="3"/>
      <c r="H714" s="3"/>
      <c r="I714" s="3"/>
    </row>
    <row r="715" spans="2:9" ht="13" x14ac:dyDescent="0.15">
      <c r="B715" s="3"/>
      <c r="C715" s="3"/>
      <c r="D715" s="3"/>
      <c r="E715" s="3"/>
      <c r="F715" s="3"/>
      <c r="G715" s="3"/>
      <c r="H715" s="3"/>
      <c r="I715" s="3"/>
    </row>
    <row r="716" spans="2:9" ht="13" x14ac:dyDescent="0.15">
      <c r="B716" s="3"/>
      <c r="C716" s="3"/>
      <c r="D716" s="3"/>
      <c r="E716" s="3"/>
      <c r="F716" s="3"/>
      <c r="G716" s="3"/>
      <c r="H716" s="3"/>
      <c r="I716" s="3"/>
    </row>
    <row r="717" spans="2:9" ht="13" x14ac:dyDescent="0.15">
      <c r="B717" s="3"/>
      <c r="C717" s="3"/>
      <c r="D717" s="3"/>
      <c r="E717" s="3"/>
      <c r="F717" s="3"/>
      <c r="G717" s="3"/>
      <c r="H717" s="3"/>
      <c r="I717" s="3"/>
    </row>
    <row r="718" spans="2:9" ht="13" x14ac:dyDescent="0.15">
      <c r="B718" s="3"/>
      <c r="C718" s="3"/>
      <c r="D718" s="3"/>
      <c r="E718" s="3"/>
      <c r="F718" s="3"/>
      <c r="G718" s="3"/>
      <c r="H718" s="3"/>
      <c r="I718" s="3"/>
    </row>
    <row r="719" spans="2:9" ht="13" x14ac:dyDescent="0.15">
      <c r="B719" s="3"/>
      <c r="C719" s="3"/>
      <c r="D719" s="3"/>
      <c r="E719" s="3"/>
      <c r="F719" s="3"/>
      <c r="G719" s="3"/>
      <c r="H719" s="3"/>
      <c r="I719" s="3"/>
    </row>
    <row r="720" spans="2:9" ht="13" x14ac:dyDescent="0.15">
      <c r="B720" s="3"/>
      <c r="C720" s="3"/>
      <c r="D720" s="3"/>
      <c r="E720" s="3"/>
      <c r="F720" s="3"/>
      <c r="G720" s="3"/>
      <c r="H720" s="3"/>
      <c r="I720" s="3"/>
    </row>
    <row r="721" spans="2:9" ht="13" x14ac:dyDescent="0.15">
      <c r="B721" s="3"/>
      <c r="C721" s="3"/>
      <c r="D721" s="3"/>
      <c r="E721" s="3"/>
      <c r="F721" s="3"/>
      <c r="G721" s="3"/>
      <c r="H721" s="3"/>
      <c r="I721" s="3"/>
    </row>
    <row r="722" spans="2:9" ht="13" x14ac:dyDescent="0.15">
      <c r="B722" s="3"/>
      <c r="C722" s="3"/>
      <c r="D722" s="3"/>
      <c r="E722" s="3"/>
      <c r="F722" s="3"/>
      <c r="G722" s="3"/>
      <c r="H722" s="3"/>
      <c r="I722" s="3"/>
    </row>
    <row r="723" spans="2:9" ht="13" x14ac:dyDescent="0.15">
      <c r="B723" s="3"/>
      <c r="C723" s="3"/>
      <c r="D723" s="3"/>
      <c r="E723" s="3"/>
      <c r="F723" s="3"/>
      <c r="G723" s="3"/>
      <c r="H723" s="3"/>
      <c r="I723" s="3"/>
    </row>
    <row r="724" spans="2:9" ht="13" x14ac:dyDescent="0.15">
      <c r="B724" s="3"/>
      <c r="C724" s="3"/>
      <c r="D724" s="3"/>
      <c r="E724" s="3"/>
      <c r="F724" s="3"/>
      <c r="G724" s="3"/>
      <c r="H724" s="3"/>
      <c r="I724" s="3"/>
    </row>
    <row r="725" spans="2:9" ht="13" x14ac:dyDescent="0.15">
      <c r="B725" s="3"/>
      <c r="C725" s="3"/>
      <c r="D725" s="3"/>
      <c r="E725" s="3"/>
      <c r="F725" s="3"/>
      <c r="G725" s="3"/>
      <c r="H725" s="3"/>
      <c r="I725" s="3"/>
    </row>
    <row r="726" spans="2:9" ht="13" x14ac:dyDescent="0.15">
      <c r="B726" s="3"/>
      <c r="C726" s="3"/>
      <c r="D726" s="3"/>
      <c r="E726" s="3"/>
      <c r="F726" s="3"/>
      <c r="G726" s="3"/>
      <c r="H726" s="3"/>
      <c r="I726" s="3"/>
    </row>
    <row r="727" spans="2:9" ht="13" x14ac:dyDescent="0.15">
      <c r="B727" s="3"/>
      <c r="C727" s="3"/>
      <c r="D727" s="3"/>
      <c r="E727" s="3"/>
      <c r="F727" s="3"/>
      <c r="G727" s="3"/>
      <c r="H727" s="3"/>
      <c r="I727" s="3"/>
    </row>
    <row r="728" spans="2:9" ht="13" x14ac:dyDescent="0.15">
      <c r="B728" s="3"/>
      <c r="C728" s="3"/>
      <c r="D728" s="3"/>
      <c r="E728" s="3"/>
      <c r="F728" s="3"/>
      <c r="G728" s="3"/>
      <c r="H728" s="3"/>
      <c r="I728" s="3"/>
    </row>
    <row r="729" spans="2:9" ht="13" x14ac:dyDescent="0.15">
      <c r="B729" s="3"/>
      <c r="C729" s="3"/>
      <c r="D729" s="3"/>
      <c r="E729" s="3"/>
      <c r="F729" s="3"/>
      <c r="G729" s="3"/>
      <c r="H729" s="3"/>
      <c r="I729" s="3"/>
    </row>
    <row r="730" spans="2:9" ht="13" x14ac:dyDescent="0.15">
      <c r="B730" s="3"/>
      <c r="C730" s="3"/>
      <c r="D730" s="3"/>
      <c r="E730" s="3"/>
      <c r="F730" s="3"/>
      <c r="G730" s="3"/>
      <c r="H730" s="3"/>
      <c r="I730" s="3"/>
    </row>
    <row r="731" spans="2:9" ht="13" x14ac:dyDescent="0.15">
      <c r="B731" s="3"/>
      <c r="C731" s="3"/>
      <c r="D731" s="3"/>
      <c r="E731" s="3"/>
      <c r="F731" s="3"/>
      <c r="G731" s="3"/>
      <c r="H731" s="3"/>
      <c r="I731" s="3"/>
    </row>
    <row r="732" spans="2:9" ht="13" x14ac:dyDescent="0.15">
      <c r="B732" s="3"/>
      <c r="C732" s="3"/>
      <c r="D732" s="3"/>
      <c r="E732" s="3"/>
      <c r="F732" s="3"/>
      <c r="G732" s="3"/>
      <c r="H732" s="3"/>
      <c r="I732" s="3"/>
    </row>
    <row r="733" spans="2:9" ht="13" x14ac:dyDescent="0.15">
      <c r="B733" s="3"/>
      <c r="C733" s="3"/>
      <c r="D733" s="3"/>
      <c r="E733" s="3"/>
      <c r="F733" s="3"/>
      <c r="G733" s="3"/>
      <c r="H733" s="3"/>
      <c r="I733" s="3"/>
    </row>
    <row r="734" spans="2:9" ht="13" x14ac:dyDescent="0.15">
      <c r="B734" s="3"/>
      <c r="C734" s="3"/>
      <c r="D734" s="3"/>
      <c r="E734" s="3"/>
      <c r="F734" s="3"/>
      <c r="G734" s="3"/>
      <c r="H734" s="3"/>
      <c r="I734" s="3"/>
    </row>
    <row r="735" spans="2:9" ht="13" x14ac:dyDescent="0.15">
      <c r="B735" s="3"/>
      <c r="C735" s="3"/>
      <c r="D735" s="3"/>
      <c r="E735" s="3"/>
      <c r="F735" s="3"/>
      <c r="G735" s="3"/>
      <c r="H735" s="3"/>
      <c r="I735" s="3"/>
    </row>
    <row r="736" spans="2:9" ht="13" x14ac:dyDescent="0.15">
      <c r="B736" s="3"/>
      <c r="C736" s="3"/>
      <c r="D736" s="3"/>
      <c r="E736" s="3"/>
      <c r="F736" s="3"/>
      <c r="G736" s="3"/>
      <c r="H736" s="3"/>
      <c r="I736" s="3"/>
    </row>
    <row r="737" spans="2:9" ht="13" x14ac:dyDescent="0.15">
      <c r="B737" s="3"/>
      <c r="C737" s="3"/>
      <c r="D737" s="3"/>
      <c r="E737" s="3"/>
      <c r="F737" s="3"/>
      <c r="G737" s="3"/>
      <c r="H737" s="3"/>
      <c r="I737" s="3"/>
    </row>
    <row r="738" spans="2:9" ht="13" x14ac:dyDescent="0.15">
      <c r="B738" s="3"/>
      <c r="C738" s="3"/>
      <c r="D738" s="3"/>
      <c r="E738" s="3"/>
      <c r="F738" s="3"/>
      <c r="G738" s="3"/>
      <c r="H738" s="3"/>
      <c r="I738" s="3"/>
    </row>
    <row r="739" spans="2:9" ht="13" x14ac:dyDescent="0.15">
      <c r="B739" s="3"/>
      <c r="C739" s="3"/>
      <c r="D739" s="3"/>
      <c r="E739" s="3"/>
      <c r="F739" s="3"/>
      <c r="G739" s="3"/>
      <c r="H739" s="3"/>
      <c r="I739" s="3"/>
    </row>
    <row r="740" spans="2:9" ht="13" x14ac:dyDescent="0.15">
      <c r="B740" s="3"/>
      <c r="C740" s="3"/>
      <c r="D740" s="3"/>
      <c r="E740" s="3"/>
      <c r="F740" s="3"/>
      <c r="G740" s="3"/>
      <c r="H740" s="3"/>
      <c r="I740" s="3"/>
    </row>
    <row r="741" spans="2:9" ht="13" x14ac:dyDescent="0.15">
      <c r="B741" s="3"/>
      <c r="C741" s="3"/>
      <c r="D741" s="3"/>
      <c r="E741" s="3"/>
      <c r="F741" s="3"/>
      <c r="G741" s="3"/>
      <c r="H741" s="3"/>
      <c r="I741" s="3"/>
    </row>
    <row r="742" spans="2:9" ht="13" x14ac:dyDescent="0.15">
      <c r="B742" s="3"/>
      <c r="C742" s="3"/>
      <c r="D742" s="3"/>
      <c r="E742" s="3"/>
      <c r="F742" s="3"/>
      <c r="G742" s="3"/>
      <c r="H742" s="3"/>
      <c r="I742" s="3"/>
    </row>
    <row r="743" spans="2:9" ht="13" x14ac:dyDescent="0.15">
      <c r="B743" s="3"/>
      <c r="C743" s="3"/>
      <c r="D743" s="3"/>
      <c r="E743" s="3"/>
      <c r="F743" s="3"/>
      <c r="G743" s="3"/>
      <c r="H743" s="3"/>
      <c r="I743" s="3"/>
    </row>
    <row r="744" spans="2:9" ht="13" x14ac:dyDescent="0.15">
      <c r="B744" s="3"/>
      <c r="C744" s="3"/>
      <c r="D744" s="3"/>
      <c r="E744" s="3"/>
      <c r="F744" s="3"/>
      <c r="G744" s="3"/>
      <c r="H744" s="3"/>
      <c r="I744" s="3"/>
    </row>
    <row r="745" spans="2:9" ht="13" x14ac:dyDescent="0.15">
      <c r="B745" s="3"/>
      <c r="C745" s="3"/>
      <c r="D745" s="3"/>
      <c r="E745" s="3"/>
      <c r="F745" s="3"/>
      <c r="G745" s="3"/>
      <c r="H745" s="3"/>
      <c r="I745" s="3"/>
    </row>
    <row r="746" spans="2:9" ht="13" x14ac:dyDescent="0.15">
      <c r="B746" s="3"/>
      <c r="C746" s="3"/>
      <c r="D746" s="3"/>
      <c r="E746" s="3"/>
      <c r="F746" s="3"/>
      <c r="G746" s="3"/>
      <c r="H746" s="3"/>
      <c r="I746" s="3"/>
    </row>
    <row r="747" spans="2:9" ht="13" x14ac:dyDescent="0.15">
      <c r="B747" s="3"/>
      <c r="C747" s="3"/>
      <c r="D747" s="3"/>
      <c r="E747" s="3"/>
      <c r="F747" s="3"/>
      <c r="G747" s="3"/>
      <c r="H747" s="3"/>
      <c r="I747" s="3"/>
    </row>
    <row r="748" spans="2:9" ht="13" x14ac:dyDescent="0.15">
      <c r="B748" s="3"/>
      <c r="C748" s="3"/>
      <c r="D748" s="3"/>
      <c r="E748" s="3"/>
      <c r="F748" s="3"/>
      <c r="G748" s="3"/>
      <c r="H748" s="3"/>
      <c r="I748" s="3"/>
    </row>
    <row r="749" spans="2:9" ht="13" x14ac:dyDescent="0.15">
      <c r="B749" s="3"/>
      <c r="C749" s="3"/>
      <c r="D749" s="3"/>
      <c r="E749" s="3"/>
      <c r="F749" s="3"/>
      <c r="G749" s="3"/>
      <c r="H749" s="3"/>
      <c r="I749" s="3"/>
    </row>
    <row r="750" spans="2:9" ht="13" x14ac:dyDescent="0.15">
      <c r="B750" s="3"/>
      <c r="C750" s="3"/>
      <c r="D750" s="3"/>
      <c r="E750" s="3"/>
      <c r="F750" s="3"/>
      <c r="G750" s="3"/>
      <c r="H750" s="3"/>
      <c r="I750" s="3"/>
    </row>
    <row r="751" spans="2:9" ht="13" x14ac:dyDescent="0.15">
      <c r="B751" s="3"/>
      <c r="C751" s="3"/>
      <c r="D751" s="3"/>
      <c r="E751" s="3"/>
      <c r="F751" s="3"/>
      <c r="G751" s="3"/>
      <c r="H751" s="3"/>
      <c r="I751" s="3"/>
    </row>
    <row r="752" spans="2:9" ht="13" x14ac:dyDescent="0.15">
      <c r="B752" s="3"/>
      <c r="C752" s="3"/>
      <c r="D752" s="3"/>
      <c r="E752" s="3"/>
      <c r="F752" s="3"/>
      <c r="G752" s="3"/>
      <c r="H752" s="3"/>
      <c r="I752" s="3"/>
    </row>
    <row r="753" spans="2:9" ht="13" x14ac:dyDescent="0.15">
      <c r="B753" s="3"/>
      <c r="C753" s="3"/>
      <c r="D753" s="3"/>
      <c r="E753" s="3"/>
      <c r="F753" s="3"/>
      <c r="G753" s="3"/>
      <c r="H753" s="3"/>
      <c r="I753" s="3"/>
    </row>
    <row r="754" spans="2:9" ht="13" x14ac:dyDescent="0.15">
      <c r="B754" s="3"/>
      <c r="C754" s="3"/>
      <c r="D754" s="3"/>
      <c r="E754" s="3"/>
      <c r="F754" s="3"/>
      <c r="G754" s="3"/>
      <c r="H754" s="3"/>
      <c r="I754" s="3"/>
    </row>
    <row r="755" spans="2:9" ht="13" x14ac:dyDescent="0.15">
      <c r="B755" s="3"/>
      <c r="C755" s="3"/>
      <c r="D755" s="3"/>
      <c r="E755" s="3"/>
      <c r="F755" s="3"/>
      <c r="G755" s="3"/>
      <c r="H755" s="3"/>
      <c r="I755" s="3"/>
    </row>
    <row r="756" spans="2:9" ht="13" x14ac:dyDescent="0.15">
      <c r="B756" s="3"/>
      <c r="C756" s="3"/>
      <c r="D756" s="3"/>
      <c r="E756" s="3"/>
      <c r="F756" s="3"/>
      <c r="G756" s="3"/>
      <c r="H756" s="3"/>
      <c r="I756" s="3"/>
    </row>
    <row r="757" spans="2:9" ht="13" x14ac:dyDescent="0.15">
      <c r="B757" s="3"/>
      <c r="C757" s="3"/>
      <c r="D757" s="3"/>
      <c r="E757" s="3"/>
      <c r="F757" s="3"/>
      <c r="G757" s="3"/>
      <c r="H757" s="3"/>
      <c r="I757" s="3"/>
    </row>
    <row r="758" spans="2:9" ht="13" x14ac:dyDescent="0.15">
      <c r="B758" s="3"/>
      <c r="C758" s="3"/>
      <c r="D758" s="3"/>
      <c r="E758" s="3"/>
      <c r="F758" s="3"/>
      <c r="G758" s="3"/>
      <c r="H758" s="3"/>
      <c r="I758" s="3"/>
    </row>
    <row r="759" spans="2:9" ht="13" x14ac:dyDescent="0.15">
      <c r="B759" s="3"/>
      <c r="C759" s="3"/>
      <c r="D759" s="3"/>
      <c r="E759" s="3"/>
      <c r="F759" s="3"/>
      <c r="G759" s="3"/>
      <c r="H759" s="3"/>
      <c r="I759" s="3"/>
    </row>
    <row r="760" spans="2:9" ht="13" x14ac:dyDescent="0.15">
      <c r="B760" s="3"/>
      <c r="C760" s="3"/>
      <c r="D760" s="3"/>
      <c r="E760" s="3"/>
      <c r="F760" s="3"/>
      <c r="G760" s="3"/>
      <c r="H760" s="3"/>
      <c r="I760" s="3"/>
    </row>
    <row r="761" spans="2:9" ht="13" x14ac:dyDescent="0.15">
      <c r="B761" s="3"/>
      <c r="C761" s="3"/>
      <c r="D761" s="3"/>
      <c r="E761" s="3"/>
      <c r="F761" s="3"/>
      <c r="G761" s="3"/>
      <c r="H761" s="3"/>
      <c r="I761" s="3"/>
    </row>
    <row r="762" spans="2:9" ht="13" x14ac:dyDescent="0.15">
      <c r="B762" s="3"/>
      <c r="C762" s="3"/>
      <c r="D762" s="3"/>
      <c r="E762" s="3"/>
      <c r="F762" s="3"/>
      <c r="G762" s="3"/>
      <c r="H762" s="3"/>
      <c r="I762" s="3"/>
    </row>
    <row r="763" spans="2:9" ht="13" x14ac:dyDescent="0.15">
      <c r="B763" s="3"/>
      <c r="C763" s="3"/>
      <c r="D763" s="3"/>
      <c r="E763" s="3"/>
      <c r="F763" s="3"/>
      <c r="G763" s="3"/>
      <c r="H763" s="3"/>
      <c r="I763" s="3"/>
    </row>
    <row r="764" spans="2:9" ht="13" x14ac:dyDescent="0.15">
      <c r="B764" s="3"/>
      <c r="C764" s="3"/>
      <c r="D764" s="3"/>
      <c r="E764" s="3"/>
      <c r="F764" s="3"/>
      <c r="G764" s="3"/>
      <c r="H764" s="3"/>
      <c r="I764" s="3"/>
    </row>
    <row r="765" spans="2:9" ht="13" x14ac:dyDescent="0.15">
      <c r="B765" s="3"/>
      <c r="C765" s="3"/>
      <c r="D765" s="3"/>
      <c r="E765" s="3"/>
      <c r="F765" s="3"/>
      <c r="G765" s="3"/>
      <c r="H765" s="3"/>
      <c r="I765" s="3"/>
    </row>
    <row r="766" spans="2:9" ht="13" x14ac:dyDescent="0.15">
      <c r="B766" s="3"/>
      <c r="C766" s="3"/>
      <c r="D766" s="3"/>
      <c r="E766" s="3"/>
      <c r="F766" s="3"/>
      <c r="G766" s="3"/>
      <c r="H766" s="3"/>
      <c r="I766" s="3"/>
    </row>
    <row r="767" spans="2:9" ht="13" x14ac:dyDescent="0.15">
      <c r="B767" s="3"/>
      <c r="C767" s="3"/>
      <c r="D767" s="3"/>
      <c r="E767" s="3"/>
      <c r="F767" s="3"/>
      <c r="G767" s="3"/>
      <c r="H767" s="3"/>
      <c r="I767" s="3"/>
    </row>
    <row r="768" spans="2:9" ht="13" x14ac:dyDescent="0.15">
      <c r="B768" s="3"/>
      <c r="C768" s="3"/>
      <c r="D768" s="3"/>
      <c r="E768" s="3"/>
      <c r="F768" s="3"/>
      <c r="G768" s="3"/>
      <c r="H768" s="3"/>
      <c r="I768" s="3"/>
    </row>
    <row r="769" spans="2:9" ht="13" x14ac:dyDescent="0.15">
      <c r="B769" s="3"/>
      <c r="C769" s="3"/>
      <c r="D769" s="3"/>
      <c r="E769" s="3"/>
      <c r="F769" s="3"/>
      <c r="G769" s="3"/>
      <c r="H769" s="3"/>
      <c r="I769" s="3"/>
    </row>
    <row r="770" spans="2:9" ht="13" x14ac:dyDescent="0.15">
      <c r="B770" s="3"/>
      <c r="C770" s="3"/>
      <c r="D770" s="3"/>
      <c r="E770" s="3"/>
      <c r="F770" s="3"/>
      <c r="G770" s="3"/>
      <c r="H770" s="3"/>
      <c r="I770" s="3"/>
    </row>
    <row r="771" spans="2:9" ht="13" x14ac:dyDescent="0.15">
      <c r="B771" s="3"/>
      <c r="C771" s="3"/>
      <c r="D771" s="3"/>
      <c r="E771" s="3"/>
      <c r="F771" s="3"/>
      <c r="G771" s="3"/>
      <c r="H771" s="3"/>
      <c r="I771" s="3"/>
    </row>
    <row r="772" spans="2:9" ht="13" x14ac:dyDescent="0.15">
      <c r="B772" s="3"/>
      <c r="C772" s="3"/>
      <c r="D772" s="3"/>
      <c r="E772" s="3"/>
      <c r="F772" s="3"/>
      <c r="G772" s="3"/>
      <c r="H772" s="3"/>
      <c r="I772" s="3"/>
    </row>
    <row r="773" spans="2:9" ht="13" x14ac:dyDescent="0.15">
      <c r="B773" s="3"/>
      <c r="C773" s="3"/>
      <c r="D773" s="3"/>
      <c r="E773" s="3"/>
      <c r="F773" s="3"/>
      <c r="G773" s="3"/>
      <c r="H773" s="3"/>
      <c r="I773" s="3"/>
    </row>
    <row r="774" spans="2:9" ht="13" x14ac:dyDescent="0.15">
      <c r="B774" s="3"/>
      <c r="C774" s="3"/>
      <c r="D774" s="3"/>
      <c r="E774" s="3"/>
      <c r="F774" s="3"/>
      <c r="G774" s="3"/>
      <c r="H774" s="3"/>
      <c r="I774" s="3"/>
    </row>
    <row r="775" spans="2:9" ht="13" x14ac:dyDescent="0.15">
      <c r="B775" s="3"/>
      <c r="C775" s="3"/>
      <c r="D775" s="3"/>
      <c r="E775" s="3"/>
      <c r="F775" s="3"/>
      <c r="G775" s="3"/>
      <c r="H775" s="3"/>
      <c r="I775" s="3"/>
    </row>
    <row r="776" spans="2:9" ht="13" x14ac:dyDescent="0.15">
      <c r="B776" s="3"/>
      <c r="C776" s="3"/>
      <c r="D776" s="3"/>
      <c r="E776" s="3"/>
      <c r="F776" s="3"/>
      <c r="G776" s="3"/>
      <c r="H776" s="3"/>
      <c r="I776" s="3"/>
    </row>
    <row r="777" spans="2:9" ht="13" x14ac:dyDescent="0.15">
      <c r="B777" s="3"/>
      <c r="C777" s="3"/>
      <c r="D777" s="3"/>
      <c r="E777" s="3"/>
      <c r="F777" s="3"/>
      <c r="G777" s="3"/>
      <c r="H777" s="3"/>
      <c r="I777" s="3"/>
    </row>
    <row r="778" spans="2:9" ht="13" x14ac:dyDescent="0.15">
      <c r="B778" s="3"/>
      <c r="C778" s="3"/>
      <c r="D778" s="3"/>
      <c r="E778" s="3"/>
      <c r="F778" s="3"/>
      <c r="G778" s="3"/>
      <c r="H778" s="3"/>
      <c r="I778" s="3"/>
    </row>
    <row r="779" spans="2:9" ht="13" x14ac:dyDescent="0.15">
      <c r="B779" s="3"/>
      <c r="C779" s="3"/>
      <c r="D779" s="3"/>
      <c r="E779" s="3"/>
      <c r="F779" s="3"/>
      <c r="G779" s="3"/>
      <c r="H779" s="3"/>
      <c r="I779" s="3"/>
    </row>
    <row r="780" spans="2:9" ht="13" x14ac:dyDescent="0.15">
      <c r="B780" s="3"/>
      <c r="C780" s="3"/>
      <c r="D780" s="3"/>
      <c r="E780" s="3"/>
      <c r="F780" s="3"/>
      <c r="G780" s="3"/>
      <c r="H780" s="3"/>
      <c r="I780" s="3"/>
    </row>
    <row r="781" spans="2:9" ht="13" x14ac:dyDescent="0.15">
      <c r="B781" s="3"/>
      <c r="C781" s="3"/>
      <c r="D781" s="3"/>
      <c r="E781" s="3"/>
      <c r="F781" s="3"/>
      <c r="G781" s="3"/>
      <c r="H781" s="3"/>
      <c r="I781" s="3"/>
    </row>
    <row r="782" spans="2:9" ht="13" x14ac:dyDescent="0.15">
      <c r="B782" s="3"/>
      <c r="C782" s="3"/>
      <c r="D782" s="3"/>
      <c r="E782" s="3"/>
      <c r="F782" s="3"/>
      <c r="G782" s="3"/>
      <c r="H782" s="3"/>
      <c r="I782" s="3"/>
    </row>
    <row r="783" spans="2:9" ht="13" x14ac:dyDescent="0.15">
      <c r="B783" s="3"/>
      <c r="C783" s="3"/>
      <c r="D783" s="3"/>
      <c r="E783" s="3"/>
      <c r="F783" s="3"/>
      <c r="G783" s="3"/>
      <c r="H783" s="3"/>
      <c r="I783" s="3"/>
    </row>
    <row r="784" spans="2:9" ht="13" x14ac:dyDescent="0.15">
      <c r="B784" s="3"/>
      <c r="C784" s="3"/>
      <c r="D784" s="3"/>
      <c r="E784" s="3"/>
      <c r="F784" s="3"/>
      <c r="G784" s="3"/>
      <c r="H784" s="3"/>
      <c r="I784" s="3"/>
    </row>
    <row r="785" spans="2:9" ht="13" x14ac:dyDescent="0.15">
      <c r="B785" s="3"/>
      <c r="C785" s="3"/>
      <c r="D785" s="3"/>
      <c r="E785" s="3"/>
      <c r="F785" s="3"/>
      <c r="G785" s="3"/>
      <c r="H785" s="3"/>
      <c r="I785" s="3"/>
    </row>
    <row r="786" spans="2:9" ht="13" x14ac:dyDescent="0.15">
      <c r="B786" s="3"/>
      <c r="C786" s="3"/>
      <c r="D786" s="3"/>
      <c r="E786" s="3"/>
      <c r="F786" s="3"/>
      <c r="G786" s="3"/>
      <c r="H786" s="3"/>
      <c r="I786" s="3"/>
    </row>
    <row r="787" spans="2:9" ht="13" x14ac:dyDescent="0.15">
      <c r="B787" s="3"/>
      <c r="C787" s="3"/>
      <c r="D787" s="3"/>
      <c r="E787" s="3"/>
      <c r="F787" s="3"/>
      <c r="G787" s="3"/>
      <c r="H787" s="3"/>
      <c r="I787" s="3"/>
    </row>
    <row r="788" spans="2:9" ht="13" x14ac:dyDescent="0.15">
      <c r="B788" s="3"/>
      <c r="C788" s="3"/>
      <c r="D788" s="3"/>
      <c r="E788" s="3"/>
      <c r="F788" s="3"/>
      <c r="G788" s="3"/>
      <c r="H788" s="3"/>
      <c r="I788" s="3"/>
    </row>
    <row r="789" spans="2:9" ht="13" x14ac:dyDescent="0.15">
      <c r="B789" s="3"/>
      <c r="C789" s="3"/>
      <c r="D789" s="3"/>
      <c r="E789" s="3"/>
      <c r="F789" s="3"/>
      <c r="G789" s="3"/>
      <c r="H789" s="3"/>
      <c r="I789" s="3"/>
    </row>
    <row r="790" spans="2:9" ht="13" x14ac:dyDescent="0.15">
      <c r="B790" s="3"/>
      <c r="C790" s="3"/>
      <c r="D790" s="3"/>
      <c r="E790" s="3"/>
      <c r="F790" s="3"/>
      <c r="G790" s="3"/>
      <c r="H790" s="3"/>
      <c r="I790" s="3"/>
    </row>
    <row r="791" spans="2:9" ht="13" x14ac:dyDescent="0.15">
      <c r="B791" s="3"/>
      <c r="C791" s="3"/>
      <c r="D791" s="3"/>
      <c r="E791" s="3"/>
      <c r="F791" s="3"/>
      <c r="G791" s="3"/>
      <c r="H791" s="3"/>
      <c r="I791" s="3"/>
    </row>
    <row r="792" spans="2:9" ht="13" x14ac:dyDescent="0.15">
      <c r="B792" s="3"/>
      <c r="C792" s="3"/>
      <c r="D792" s="3"/>
      <c r="E792" s="3"/>
      <c r="F792" s="3"/>
      <c r="G792" s="3"/>
      <c r="H792" s="3"/>
      <c r="I792" s="3"/>
    </row>
    <row r="793" spans="2:9" ht="13" x14ac:dyDescent="0.15">
      <c r="B793" s="3"/>
      <c r="C793" s="3"/>
      <c r="D793" s="3"/>
      <c r="E793" s="3"/>
      <c r="F793" s="3"/>
      <c r="G793" s="3"/>
      <c r="H793" s="3"/>
      <c r="I793" s="3"/>
    </row>
    <row r="794" spans="2:9" ht="13" x14ac:dyDescent="0.15">
      <c r="B794" s="3"/>
      <c r="C794" s="3"/>
      <c r="D794" s="3"/>
      <c r="E794" s="3"/>
      <c r="F794" s="3"/>
      <c r="G794" s="3"/>
      <c r="H794" s="3"/>
      <c r="I794" s="3"/>
    </row>
    <row r="795" spans="2:9" ht="13" x14ac:dyDescent="0.15">
      <c r="B795" s="3"/>
      <c r="C795" s="3"/>
      <c r="D795" s="3"/>
      <c r="E795" s="3"/>
      <c r="F795" s="3"/>
      <c r="G795" s="3"/>
      <c r="H795" s="3"/>
      <c r="I795" s="3"/>
    </row>
    <row r="796" spans="2:9" ht="13" x14ac:dyDescent="0.15">
      <c r="B796" s="3"/>
      <c r="C796" s="3"/>
      <c r="D796" s="3"/>
      <c r="E796" s="3"/>
      <c r="F796" s="3"/>
      <c r="G796" s="3"/>
      <c r="H796" s="3"/>
      <c r="I796" s="3"/>
    </row>
    <row r="797" spans="2:9" ht="13" x14ac:dyDescent="0.15">
      <c r="B797" s="3"/>
      <c r="C797" s="3"/>
      <c r="D797" s="3"/>
      <c r="E797" s="3"/>
      <c r="F797" s="3"/>
      <c r="G797" s="3"/>
      <c r="H797" s="3"/>
      <c r="I797" s="3"/>
    </row>
    <row r="798" spans="2:9" ht="13" x14ac:dyDescent="0.15">
      <c r="B798" s="3"/>
      <c r="C798" s="3"/>
      <c r="D798" s="3"/>
      <c r="E798" s="3"/>
      <c r="F798" s="3"/>
      <c r="G798" s="3"/>
      <c r="H798" s="3"/>
      <c r="I798" s="3"/>
    </row>
    <row r="799" spans="2:9" ht="13" x14ac:dyDescent="0.15">
      <c r="B799" s="3"/>
      <c r="C799" s="3"/>
      <c r="D799" s="3"/>
      <c r="E799" s="3"/>
      <c r="F799" s="3"/>
      <c r="G799" s="3"/>
      <c r="H799" s="3"/>
      <c r="I799" s="3"/>
    </row>
    <row r="800" spans="2:9" ht="13" x14ac:dyDescent="0.15">
      <c r="B800" s="3"/>
      <c r="C800" s="3"/>
      <c r="D800" s="3"/>
      <c r="E800" s="3"/>
      <c r="F800" s="3"/>
      <c r="G800" s="3"/>
      <c r="H800" s="3"/>
      <c r="I800" s="3"/>
    </row>
    <row r="801" spans="2:9" ht="13" x14ac:dyDescent="0.15">
      <c r="B801" s="3"/>
      <c r="C801" s="3"/>
      <c r="D801" s="3"/>
      <c r="E801" s="3"/>
      <c r="F801" s="3"/>
      <c r="G801" s="3"/>
      <c r="H801" s="3"/>
      <c r="I801" s="3"/>
    </row>
    <row r="802" spans="2:9" ht="13" x14ac:dyDescent="0.15">
      <c r="B802" s="3"/>
      <c r="C802" s="3"/>
      <c r="D802" s="3"/>
      <c r="E802" s="3"/>
      <c r="F802" s="3"/>
      <c r="G802" s="3"/>
      <c r="H802" s="3"/>
      <c r="I802" s="3"/>
    </row>
    <row r="803" spans="2:9" ht="13" x14ac:dyDescent="0.15">
      <c r="B803" s="3"/>
      <c r="C803" s="3"/>
      <c r="D803" s="3"/>
      <c r="E803" s="3"/>
      <c r="F803" s="3"/>
      <c r="G803" s="3"/>
      <c r="H803" s="3"/>
      <c r="I803" s="3"/>
    </row>
    <row r="804" spans="2:9" ht="13" x14ac:dyDescent="0.15">
      <c r="B804" s="3"/>
      <c r="C804" s="3"/>
      <c r="D804" s="3"/>
      <c r="E804" s="3"/>
      <c r="F804" s="3"/>
      <c r="G804" s="3"/>
      <c r="H804" s="3"/>
      <c r="I804" s="3"/>
    </row>
    <row r="805" spans="2:9" ht="13" x14ac:dyDescent="0.15">
      <c r="B805" s="3"/>
      <c r="C805" s="3"/>
      <c r="D805" s="3"/>
      <c r="E805" s="3"/>
      <c r="F805" s="3"/>
      <c r="G805" s="3"/>
      <c r="H805" s="3"/>
      <c r="I805" s="3"/>
    </row>
    <row r="806" spans="2:9" ht="13" x14ac:dyDescent="0.15">
      <c r="B806" s="3"/>
      <c r="C806" s="3"/>
      <c r="D806" s="3"/>
      <c r="E806" s="3"/>
      <c r="F806" s="3"/>
      <c r="G806" s="3"/>
      <c r="H806" s="3"/>
      <c r="I806" s="3"/>
    </row>
    <row r="807" spans="2:9" ht="13" x14ac:dyDescent="0.15">
      <c r="B807" s="3"/>
      <c r="C807" s="3"/>
      <c r="D807" s="3"/>
      <c r="E807" s="3"/>
      <c r="F807" s="3"/>
      <c r="G807" s="3"/>
      <c r="H807" s="3"/>
      <c r="I807" s="3"/>
    </row>
    <row r="808" spans="2:9" ht="13" x14ac:dyDescent="0.15">
      <c r="B808" s="3"/>
      <c r="C808" s="3"/>
      <c r="D808" s="3"/>
      <c r="E808" s="3"/>
      <c r="F808" s="3"/>
      <c r="G808" s="3"/>
      <c r="H808" s="3"/>
      <c r="I808" s="3"/>
    </row>
    <row r="809" spans="2:9" ht="13" x14ac:dyDescent="0.15">
      <c r="B809" s="3"/>
      <c r="C809" s="3"/>
      <c r="D809" s="3"/>
      <c r="E809" s="3"/>
      <c r="F809" s="3"/>
      <c r="G809" s="3"/>
      <c r="H809" s="3"/>
      <c r="I809" s="3"/>
    </row>
    <row r="810" spans="2:9" ht="13" x14ac:dyDescent="0.15">
      <c r="B810" s="3"/>
      <c r="C810" s="3"/>
      <c r="D810" s="3"/>
      <c r="E810" s="3"/>
      <c r="F810" s="3"/>
      <c r="G810" s="3"/>
      <c r="H810" s="3"/>
      <c r="I810" s="3"/>
    </row>
    <row r="811" spans="2:9" ht="13" x14ac:dyDescent="0.15">
      <c r="B811" s="3"/>
      <c r="C811" s="3"/>
      <c r="D811" s="3"/>
      <c r="E811" s="3"/>
      <c r="F811" s="3"/>
      <c r="G811" s="3"/>
      <c r="H811" s="3"/>
      <c r="I811" s="3"/>
    </row>
    <row r="812" spans="2:9" ht="13" x14ac:dyDescent="0.15">
      <c r="B812" s="3"/>
      <c r="C812" s="3"/>
      <c r="D812" s="3"/>
      <c r="E812" s="3"/>
      <c r="F812" s="3"/>
      <c r="G812" s="3"/>
      <c r="H812" s="3"/>
      <c r="I812" s="3"/>
    </row>
    <row r="813" spans="2:9" ht="13" x14ac:dyDescent="0.15">
      <c r="B813" s="3"/>
      <c r="C813" s="3"/>
      <c r="D813" s="3"/>
      <c r="E813" s="3"/>
      <c r="F813" s="3"/>
      <c r="G813" s="3"/>
      <c r="H813" s="3"/>
      <c r="I813" s="3"/>
    </row>
    <row r="814" spans="2:9" ht="13" x14ac:dyDescent="0.15">
      <c r="B814" s="3"/>
      <c r="C814" s="3"/>
      <c r="D814" s="3"/>
      <c r="E814" s="3"/>
      <c r="F814" s="3"/>
      <c r="G814" s="3"/>
      <c r="H814" s="3"/>
      <c r="I814" s="3"/>
    </row>
    <row r="815" spans="2:9" ht="13" x14ac:dyDescent="0.15">
      <c r="B815" s="3"/>
      <c r="C815" s="3"/>
      <c r="D815" s="3"/>
      <c r="E815" s="3"/>
      <c r="F815" s="3"/>
      <c r="G815" s="3"/>
      <c r="H815" s="3"/>
      <c r="I815" s="3"/>
    </row>
    <row r="816" spans="2:9" ht="13" x14ac:dyDescent="0.15">
      <c r="B816" s="3"/>
      <c r="C816" s="3"/>
      <c r="D816" s="3"/>
      <c r="E816" s="3"/>
      <c r="F816" s="3"/>
      <c r="G816" s="3"/>
      <c r="H816" s="3"/>
      <c r="I816" s="3"/>
    </row>
    <row r="817" spans="2:9" ht="13" x14ac:dyDescent="0.15">
      <c r="B817" s="3"/>
      <c r="C817" s="3"/>
      <c r="D817" s="3"/>
      <c r="E817" s="3"/>
      <c r="F817" s="3"/>
      <c r="G817" s="3"/>
      <c r="H817" s="3"/>
      <c r="I817" s="3"/>
    </row>
    <row r="818" spans="2:9" ht="13" x14ac:dyDescent="0.15">
      <c r="B818" s="3"/>
      <c r="C818" s="3"/>
      <c r="D818" s="3"/>
      <c r="E818" s="3"/>
      <c r="F818" s="3"/>
      <c r="G818" s="3"/>
      <c r="H818" s="3"/>
      <c r="I818" s="3"/>
    </row>
    <row r="819" spans="2:9" ht="13" x14ac:dyDescent="0.15">
      <c r="B819" s="3"/>
      <c r="C819" s="3"/>
      <c r="D819" s="3"/>
      <c r="E819" s="3"/>
      <c r="F819" s="3"/>
      <c r="G819" s="3"/>
      <c r="H819" s="3"/>
      <c r="I819" s="3"/>
    </row>
    <row r="820" spans="2:9" ht="13" x14ac:dyDescent="0.15">
      <c r="B820" s="3"/>
      <c r="C820" s="3"/>
      <c r="D820" s="3"/>
      <c r="E820" s="3"/>
      <c r="F820" s="3"/>
      <c r="G820" s="3"/>
      <c r="H820" s="3"/>
      <c r="I820" s="3"/>
    </row>
    <row r="821" spans="2:9" ht="13" x14ac:dyDescent="0.15">
      <c r="B821" s="3"/>
      <c r="C821" s="3"/>
      <c r="D821" s="3"/>
      <c r="E821" s="3"/>
      <c r="F821" s="3"/>
      <c r="G821" s="3"/>
      <c r="H821" s="3"/>
      <c r="I821" s="3"/>
    </row>
    <row r="822" spans="2:9" ht="13" x14ac:dyDescent="0.15">
      <c r="B822" s="3"/>
      <c r="C822" s="3"/>
      <c r="D822" s="3"/>
      <c r="E822" s="3"/>
      <c r="F822" s="3"/>
      <c r="G822" s="3"/>
      <c r="H822" s="3"/>
      <c r="I822" s="3"/>
    </row>
    <row r="823" spans="2:9" ht="13" x14ac:dyDescent="0.15">
      <c r="B823" s="3"/>
      <c r="C823" s="3"/>
      <c r="D823" s="3"/>
      <c r="E823" s="3"/>
      <c r="F823" s="3"/>
      <c r="G823" s="3"/>
      <c r="H823" s="3"/>
      <c r="I823" s="3"/>
    </row>
    <row r="824" spans="2:9" ht="13" x14ac:dyDescent="0.15">
      <c r="B824" s="3"/>
      <c r="C824" s="3"/>
      <c r="D824" s="3"/>
      <c r="E824" s="3"/>
      <c r="F824" s="3"/>
      <c r="G824" s="3"/>
      <c r="H824" s="3"/>
      <c r="I824" s="3"/>
    </row>
    <row r="825" spans="2:9" ht="13" x14ac:dyDescent="0.15">
      <c r="B825" s="3"/>
      <c r="C825" s="3"/>
      <c r="D825" s="3"/>
      <c r="E825" s="3"/>
      <c r="F825" s="3"/>
      <c r="G825" s="3"/>
      <c r="H825" s="3"/>
      <c r="I825" s="3"/>
    </row>
    <row r="826" spans="2:9" ht="13" x14ac:dyDescent="0.15">
      <c r="B826" s="3"/>
      <c r="C826" s="3"/>
      <c r="D826" s="3"/>
      <c r="E826" s="3"/>
      <c r="F826" s="3"/>
      <c r="G826" s="3"/>
      <c r="H826" s="3"/>
      <c r="I826" s="3"/>
    </row>
    <row r="827" spans="2:9" ht="13" x14ac:dyDescent="0.15">
      <c r="B827" s="3"/>
      <c r="C827" s="3"/>
      <c r="D827" s="3"/>
      <c r="E827" s="3"/>
      <c r="F827" s="3"/>
      <c r="G827" s="3"/>
      <c r="H827" s="3"/>
      <c r="I827" s="3"/>
    </row>
    <row r="828" spans="2:9" ht="13" x14ac:dyDescent="0.15">
      <c r="B828" s="3"/>
      <c r="C828" s="3"/>
      <c r="D828" s="3"/>
      <c r="E828" s="3"/>
      <c r="F828" s="3"/>
      <c r="G828" s="3"/>
      <c r="H828" s="3"/>
      <c r="I828" s="3"/>
    </row>
    <row r="829" spans="2:9" ht="13" x14ac:dyDescent="0.15">
      <c r="B829" s="3"/>
      <c r="C829" s="3"/>
      <c r="D829" s="3"/>
      <c r="E829" s="3"/>
      <c r="F829" s="3"/>
      <c r="G829" s="3"/>
      <c r="H829" s="3"/>
      <c r="I829" s="3"/>
    </row>
    <row r="830" spans="2:9" ht="13" x14ac:dyDescent="0.15">
      <c r="B830" s="3"/>
      <c r="C830" s="3"/>
      <c r="D830" s="3"/>
      <c r="E830" s="3"/>
      <c r="F830" s="3"/>
      <c r="G830" s="3"/>
      <c r="H830" s="3"/>
      <c r="I830" s="3"/>
    </row>
    <row r="831" spans="2:9" ht="13" x14ac:dyDescent="0.15">
      <c r="B831" s="3"/>
      <c r="C831" s="3"/>
      <c r="D831" s="3"/>
      <c r="E831" s="3"/>
      <c r="F831" s="3"/>
      <c r="G831" s="3"/>
      <c r="H831" s="3"/>
      <c r="I831" s="3"/>
    </row>
    <row r="832" spans="2:9" ht="13" x14ac:dyDescent="0.15">
      <c r="B832" s="3"/>
      <c r="C832" s="3"/>
      <c r="D832" s="3"/>
      <c r="E832" s="3"/>
      <c r="F832" s="3"/>
      <c r="G832" s="3"/>
      <c r="H832" s="3"/>
      <c r="I832" s="3"/>
    </row>
    <row r="833" spans="2:9" ht="13" x14ac:dyDescent="0.15">
      <c r="B833" s="3"/>
      <c r="C833" s="3"/>
      <c r="D833" s="3"/>
      <c r="E833" s="3"/>
      <c r="F833" s="3"/>
      <c r="G833" s="3"/>
      <c r="H833" s="3"/>
      <c r="I833" s="3"/>
    </row>
    <row r="834" spans="2:9" ht="13" x14ac:dyDescent="0.15">
      <c r="B834" s="3"/>
      <c r="C834" s="3"/>
      <c r="D834" s="3"/>
      <c r="E834" s="3"/>
      <c r="F834" s="3"/>
      <c r="G834" s="3"/>
      <c r="H834" s="3"/>
      <c r="I834" s="3"/>
    </row>
    <row r="835" spans="2:9" ht="13" x14ac:dyDescent="0.15">
      <c r="B835" s="3"/>
      <c r="C835" s="3"/>
      <c r="D835" s="3"/>
      <c r="E835" s="3"/>
      <c r="F835" s="3"/>
      <c r="G835" s="3"/>
      <c r="H835" s="3"/>
      <c r="I835" s="3"/>
    </row>
    <row r="836" spans="2:9" ht="13" x14ac:dyDescent="0.15">
      <c r="B836" s="3"/>
      <c r="C836" s="3"/>
      <c r="D836" s="3"/>
      <c r="E836" s="3"/>
      <c r="F836" s="3"/>
      <c r="G836" s="3"/>
      <c r="H836" s="3"/>
      <c r="I836" s="3"/>
    </row>
    <row r="837" spans="2:9" ht="13" x14ac:dyDescent="0.15">
      <c r="B837" s="3"/>
      <c r="C837" s="3"/>
      <c r="D837" s="3"/>
      <c r="E837" s="3"/>
      <c r="F837" s="3"/>
      <c r="G837" s="3"/>
      <c r="H837" s="3"/>
      <c r="I837" s="3"/>
    </row>
    <row r="838" spans="2:9" ht="13" x14ac:dyDescent="0.15">
      <c r="B838" s="3"/>
      <c r="C838" s="3"/>
      <c r="D838" s="3"/>
      <c r="E838" s="3"/>
      <c r="F838" s="3"/>
      <c r="G838" s="3"/>
      <c r="H838" s="3"/>
      <c r="I838" s="3"/>
    </row>
    <row r="839" spans="2:9" ht="13" x14ac:dyDescent="0.15">
      <c r="B839" s="3"/>
      <c r="C839" s="3"/>
      <c r="D839" s="3"/>
      <c r="E839" s="3"/>
      <c r="F839" s="3"/>
      <c r="G839" s="3"/>
      <c r="H839" s="3"/>
      <c r="I839" s="3"/>
    </row>
    <row r="840" spans="2:9" ht="13" x14ac:dyDescent="0.15">
      <c r="B840" s="3"/>
      <c r="C840" s="3"/>
      <c r="D840" s="3"/>
      <c r="E840" s="3"/>
      <c r="F840" s="3"/>
      <c r="G840" s="3"/>
      <c r="H840" s="3"/>
      <c r="I840" s="3"/>
    </row>
    <row r="841" spans="2:9" ht="13" x14ac:dyDescent="0.15">
      <c r="B841" s="3"/>
      <c r="C841" s="3"/>
      <c r="D841" s="3"/>
      <c r="E841" s="3"/>
      <c r="F841" s="3"/>
      <c r="G841" s="3"/>
      <c r="H841" s="3"/>
      <c r="I841" s="3"/>
    </row>
    <row r="842" spans="2:9" ht="13" x14ac:dyDescent="0.15">
      <c r="B842" s="3"/>
      <c r="C842" s="3"/>
      <c r="D842" s="3"/>
      <c r="E842" s="3"/>
      <c r="F842" s="3"/>
      <c r="G842" s="3"/>
      <c r="H842" s="3"/>
      <c r="I842" s="3"/>
    </row>
    <row r="843" spans="2:9" ht="13" x14ac:dyDescent="0.15">
      <c r="B843" s="3"/>
      <c r="C843" s="3"/>
      <c r="D843" s="3"/>
      <c r="E843" s="3"/>
      <c r="F843" s="3"/>
      <c r="G843" s="3"/>
      <c r="H843" s="3"/>
      <c r="I843" s="3"/>
    </row>
    <row r="844" spans="2:9" ht="13" x14ac:dyDescent="0.15">
      <c r="B844" s="3"/>
      <c r="C844" s="3"/>
      <c r="D844" s="3"/>
      <c r="E844" s="3"/>
      <c r="F844" s="3"/>
      <c r="G844" s="3"/>
      <c r="H844" s="3"/>
      <c r="I844" s="3"/>
    </row>
    <row r="845" spans="2:9" ht="13" x14ac:dyDescent="0.15">
      <c r="B845" s="3"/>
      <c r="C845" s="3"/>
      <c r="D845" s="3"/>
      <c r="E845" s="3"/>
      <c r="F845" s="3"/>
      <c r="G845" s="3"/>
      <c r="H845" s="3"/>
      <c r="I845" s="3"/>
    </row>
    <row r="846" spans="2:9" ht="13" x14ac:dyDescent="0.15">
      <c r="B846" s="3"/>
      <c r="C846" s="3"/>
      <c r="D846" s="3"/>
      <c r="E846" s="3"/>
      <c r="F846" s="3"/>
      <c r="G846" s="3"/>
      <c r="H846" s="3"/>
      <c r="I846" s="3"/>
    </row>
    <row r="847" spans="2:9" ht="13" x14ac:dyDescent="0.15">
      <c r="B847" s="3"/>
      <c r="C847" s="3"/>
      <c r="D847" s="3"/>
      <c r="E847" s="3"/>
      <c r="F847" s="3"/>
      <c r="G847" s="3"/>
      <c r="H847" s="3"/>
      <c r="I847" s="3"/>
    </row>
    <row r="848" spans="2:9" ht="13" x14ac:dyDescent="0.15">
      <c r="B848" s="3"/>
      <c r="C848" s="3"/>
      <c r="D848" s="3"/>
      <c r="E848" s="3"/>
      <c r="F848" s="3"/>
      <c r="G848" s="3"/>
      <c r="H848" s="3"/>
      <c r="I848" s="3"/>
    </row>
    <row r="849" spans="2:9" ht="13" x14ac:dyDescent="0.15">
      <c r="B849" s="3"/>
      <c r="C849" s="3"/>
      <c r="D849" s="3"/>
      <c r="E849" s="3"/>
      <c r="F849" s="3"/>
      <c r="G849" s="3"/>
      <c r="H849" s="3"/>
      <c r="I849" s="3"/>
    </row>
    <row r="850" spans="2:9" ht="13" x14ac:dyDescent="0.15">
      <c r="B850" s="3"/>
      <c r="C850" s="3"/>
      <c r="D850" s="3"/>
      <c r="E850" s="3"/>
      <c r="F850" s="3"/>
      <c r="G850" s="3"/>
      <c r="H850" s="3"/>
      <c r="I850" s="3"/>
    </row>
    <row r="851" spans="2:9" ht="13" x14ac:dyDescent="0.15">
      <c r="B851" s="3"/>
      <c r="C851" s="3"/>
      <c r="D851" s="3"/>
      <c r="E851" s="3"/>
      <c r="F851" s="3"/>
      <c r="G851" s="3"/>
      <c r="H851" s="3"/>
      <c r="I851" s="3"/>
    </row>
    <row r="852" spans="2:9" ht="13" x14ac:dyDescent="0.15">
      <c r="B852" s="3"/>
      <c r="C852" s="3"/>
      <c r="D852" s="3"/>
      <c r="E852" s="3"/>
      <c r="F852" s="3"/>
      <c r="G852" s="3"/>
      <c r="H852" s="3"/>
      <c r="I852" s="3"/>
    </row>
    <row r="853" spans="2:9" ht="13" x14ac:dyDescent="0.15">
      <c r="B853" s="3"/>
      <c r="C853" s="3"/>
      <c r="D853" s="3"/>
      <c r="E853" s="3"/>
      <c r="F853" s="3"/>
      <c r="G853" s="3"/>
      <c r="H853" s="3"/>
      <c r="I853" s="3"/>
    </row>
    <row r="854" spans="2:9" ht="13" x14ac:dyDescent="0.15">
      <c r="B854" s="3"/>
      <c r="C854" s="3"/>
      <c r="D854" s="3"/>
      <c r="E854" s="3"/>
      <c r="F854" s="3"/>
      <c r="G854" s="3"/>
      <c r="H854" s="3"/>
      <c r="I854" s="3"/>
    </row>
    <row r="855" spans="2:9" ht="13" x14ac:dyDescent="0.15">
      <c r="B855" s="3"/>
      <c r="C855" s="3"/>
      <c r="D855" s="3"/>
      <c r="E855" s="3"/>
      <c r="F855" s="3"/>
      <c r="G855" s="3"/>
      <c r="H855" s="3"/>
      <c r="I855" s="3"/>
    </row>
    <row r="856" spans="2:9" ht="13" x14ac:dyDescent="0.15">
      <c r="B856" s="3"/>
      <c r="C856" s="3"/>
      <c r="D856" s="3"/>
      <c r="E856" s="3"/>
      <c r="F856" s="3"/>
      <c r="G856" s="3"/>
      <c r="H856" s="3"/>
      <c r="I856" s="3"/>
    </row>
    <row r="857" spans="2:9" ht="13" x14ac:dyDescent="0.15">
      <c r="B857" s="3"/>
      <c r="C857" s="3"/>
      <c r="D857" s="3"/>
      <c r="E857" s="3"/>
      <c r="F857" s="3"/>
      <c r="G857" s="3"/>
      <c r="H857" s="3"/>
      <c r="I857" s="3"/>
    </row>
    <row r="858" spans="2:9" ht="13" x14ac:dyDescent="0.15">
      <c r="B858" s="3"/>
      <c r="C858" s="3"/>
      <c r="D858" s="3"/>
      <c r="E858" s="3"/>
      <c r="F858" s="3"/>
      <c r="G858" s="3"/>
      <c r="H858" s="3"/>
      <c r="I858" s="3"/>
    </row>
    <row r="859" spans="2:9" ht="13" x14ac:dyDescent="0.15">
      <c r="B859" s="3"/>
      <c r="C859" s="3"/>
      <c r="D859" s="3"/>
      <c r="E859" s="3"/>
      <c r="F859" s="3"/>
      <c r="G859" s="3"/>
      <c r="H859" s="3"/>
      <c r="I859" s="3"/>
    </row>
    <row r="860" spans="2:9" ht="13" x14ac:dyDescent="0.15">
      <c r="B860" s="3"/>
      <c r="C860" s="3"/>
      <c r="D860" s="3"/>
      <c r="E860" s="3"/>
      <c r="F860" s="3"/>
      <c r="G860" s="3"/>
      <c r="H860" s="3"/>
      <c r="I860" s="3"/>
    </row>
    <row r="861" spans="2:9" ht="13" x14ac:dyDescent="0.15">
      <c r="B861" s="3"/>
      <c r="C861" s="3"/>
      <c r="D861" s="3"/>
      <c r="E861" s="3"/>
      <c r="F861" s="3"/>
      <c r="G861" s="3"/>
      <c r="H861" s="3"/>
      <c r="I861" s="3"/>
    </row>
    <row r="862" spans="2:9" ht="13" x14ac:dyDescent="0.15">
      <c r="B862" s="3"/>
      <c r="C862" s="3"/>
      <c r="D862" s="3"/>
      <c r="E862" s="3"/>
      <c r="F862" s="3"/>
      <c r="G862" s="3"/>
      <c r="H862" s="3"/>
      <c r="I862" s="3"/>
    </row>
    <row r="863" spans="2:9" ht="13" x14ac:dyDescent="0.15">
      <c r="B863" s="3"/>
      <c r="C863" s="3"/>
      <c r="D863" s="3"/>
      <c r="E863" s="3"/>
      <c r="F863" s="3"/>
      <c r="G863" s="3"/>
      <c r="H863" s="3"/>
      <c r="I863" s="3"/>
    </row>
    <row r="864" spans="2:9" ht="13" x14ac:dyDescent="0.15">
      <c r="B864" s="3"/>
      <c r="C864" s="3"/>
      <c r="D864" s="3"/>
      <c r="E864" s="3"/>
      <c r="F864" s="3"/>
      <c r="G864" s="3"/>
      <c r="H864" s="3"/>
      <c r="I864" s="3"/>
    </row>
    <row r="865" spans="2:9" ht="13" x14ac:dyDescent="0.15">
      <c r="B865" s="3"/>
      <c r="C865" s="3"/>
      <c r="D865" s="3"/>
      <c r="E865" s="3"/>
      <c r="F865" s="3"/>
      <c r="G865" s="3"/>
      <c r="H865" s="3"/>
      <c r="I865" s="3"/>
    </row>
    <row r="866" spans="2:9" ht="13" x14ac:dyDescent="0.15">
      <c r="B866" s="3"/>
      <c r="C866" s="3"/>
      <c r="D866" s="3"/>
      <c r="E866" s="3"/>
      <c r="F866" s="3"/>
      <c r="G866" s="3"/>
      <c r="H866" s="3"/>
      <c r="I866" s="3"/>
    </row>
    <row r="867" spans="2:9" ht="13" x14ac:dyDescent="0.15">
      <c r="B867" s="3"/>
      <c r="C867" s="3"/>
      <c r="D867" s="3"/>
      <c r="E867" s="3"/>
      <c r="F867" s="3"/>
      <c r="G867" s="3"/>
      <c r="H867" s="3"/>
      <c r="I867" s="3"/>
    </row>
    <row r="868" spans="2:9" ht="13" x14ac:dyDescent="0.15">
      <c r="B868" s="3"/>
      <c r="C868" s="3"/>
      <c r="D868" s="3"/>
      <c r="E868" s="3"/>
      <c r="F868" s="3"/>
      <c r="G868" s="3"/>
      <c r="H868" s="3"/>
      <c r="I868" s="3"/>
    </row>
    <row r="869" spans="2:9" ht="13" x14ac:dyDescent="0.15">
      <c r="B869" s="3"/>
      <c r="C869" s="3"/>
      <c r="D869" s="3"/>
      <c r="E869" s="3"/>
      <c r="F869" s="3"/>
      <c r="G869" s="3"/>
      <c r="H869" s="3"/>
      <c r="I869" s="3"/>
    </row>
    <row r="870" spans="2:9" ht="13" x14ac:dyDescent="0.15">
      <c r="B870" s="3"/>
      <c r="C870" s="3"/>
      <c r="D870" s="3"/>
      <c r="E870" s="3"/>
      <c r="F870" s="3"/>
      <c r="G870" s="3"/>
      <c r="H870" s="3"/>
      <c r="I870" s="3"/>
    </row>
    <row r="871" spans="2:9" ht="13" x14ac:dyDescent="0.15">
      <c r="B871" s="3"/>
      <c r="C871" s="3"/>
      <c r="D871" s="3"/>
      <c r="E871" s="3"/>
      <c r="F871" s="3"/>
      <c r="G871" s="3"/>
      <c r="H871" s="3"/>
      <c r="I871" s="3"/>
    </row>
    <row r="872" spans="2:9" ht="13" x14ac:dyDescent="0.15">
      <c r="B872" s="3"/>
      <c r="C872" s="3"/>
      <c r="D872" s="3"/>
      <c r="E872" s="3"/>
      <c r="F872" s="3"/>
      <c r="G872" s="3"/>
      <c r="H872" s="3"/>
      <c r="I872" s="3"/>
    </row>
    <row r="873" spans="2:9" ht="13" x14ac:dyDescent="0.15">
      <c r="B873" s="3"/>
      <c r="C873" s="3"/>
      <c r="D873" s="3"/>
      <c r="E873" s="3"/>
      <c r="F873" s="3"/>
      <c r="G873" s="3"/>
      <c r="H873" s="3"/>
      <c r="I873" s="3"/>
    </row>
    <row r="874" spans="2:9" ht="13" x14ac:dyDescent="0.15">
      <c r="B874" s="3"/>
      <c r="C874" s="3"/>
      <c r="D874" s="3"/>
      <c r="E874" s="3"/>
      <c r="F874" s="3"/>
      <c r="G874" s="3"/>
      <c r="H874" s="3"/>
      <c r="I874" s="3"/>
    </row>
    <row r="875" spans="2:9" ht="13" x14ac:dyDescent="0.15">
      <c r="B875" s="3"/>
      <c r="C875" s="3"/>
      <c r="D875" s="3"/>
      <c r="E875" s="3"/>
      <c r="F875" s="3"/>
      <c r="G875" s="3"/>
      <c r="H875" s="3"/>
      <c r="I875" s="3"/>
    </row>
    <row r="876" spans="2:9" ht="13" x14ac:dyDescent="0.15">
      <c r="B876" s="3"/>
      <c r="C876" s="3"/>
      <c r="D876" s="3"/>
      <c r="E876" s="3"/>
      <c r="F876" s="3"/>
      <c r="G876" s="3"/>
      <c r="H876" s="3"/>
      <c r="I876" s="3"/>
    </row>
    <row r="877" spans="2:9" ht="13" x14ac:dyDescent="0.15">
      <c r="B877" s="3"/>
      <c r="C877" s="3"/>
      <c r="D877" s="3"/>
      <c r="E877" s="3"/>
      <c r="F877" s="3"/>
      <c r="G877" s="3"/>
      <c r="H877" s="3"/>
      <c r="I877" s="3"/>
    </row>
    <row r="878" spans="2:9" ht="13" x14ac:dyDescent="0.15">
      <c r="B878" s="3"/>
      <c r="C878" s="3"/>
      <c r="D878" s="3"/>
      <c r="E878" s="3"/>
      <c r="F878" s="3"/>
      <c r="G878" s="3"/>
      <c r="H878" s="3"/>
      <c r="I878" s="3"/>
    </row>
    <row r="879" spans="2:9" ht="13" x14ac:dyDescent="0.15">
      <c r="B879" s="3"/>
      <c r="C879" s="3"/>
      <c r="D879" s="3"/>
      <c r="E879" s="3"/>
      <c r="F879" s="3"/>
      <c r="G879" s="3"/>
      <c r="H879" s="3"/>
      <c r="I879" s="3"/>
    </row>
    <row r="880" spans="2:9" ht="13" x14ac:dyDescent="0.15">
      <c r="B880" s="3"/>
      <c r="C880" s="3"/>
      <c r="D880" s="3"/>
      <c r="E880" s="3"/>
      <c r="F880" s="3"/>
      <c r="G880" s="3"/>
      <c r="H880" s="3"/>
      <c r="I880" s="3"/>
    </row>
    <row r="881" spans="2:9" ht="13" x14ac:dyDescent="0.15">
      <c r="B881" s="3"/>
      <c r="C881" s="3"/>
      <c r="D881" s="3"/>
      <c r="E881" s="3"/>
      <c r="F881" s="3"/>
      <c r="G881" s="3"/>
      <c r="H881" s="3"/>
      <c r="I881" s="3"/>
    </row>
    <row r="882" spans="2:9" ht="13" x14ac:dyDescent="0.15">
      <c r="B882" s="3"/>
      <c r="C882" s="3"/>
      <c r="D882" s="3"/>
      <c r="E882" s="3"/>
      <c r="F882" s="3"/>
      <c r="G882" s="3"/>
      <c r="H882" s="3"/>
      <c r="I882" s="3"/>
    </row>
    <row r="883" spans="2:9" ht="13" x14ac:dyDescent="0.15">
      <c r="B883" s="3"/>
      <c r="C883" s="3"/>
      <c r="D883" s="3"/>
      <c r="E883" s="3"/>
      <c r="F883" s="3"/>
      <c r="G883" s="3"/>
      <c r="H883" s="3"/>
      <c r="I883" s="3"/>
    </row>
    <row r="884" spans="2:9" ht="13" x14ac:dyDescent="0.15">
      <c r="B884" s="3"/>
      <c r="C884" s="3"/>
      <c r="D884" s="3"/>
      <c r="E884" s="3"/>
      <c r="F884" s="3"/>
      <c r="G884" s="3"/>
      <c r="H884" s="3"/>
      <c r="I884" s="3"/>
    </row>
    <row r="885" spans="2:9" ht="13" x14ac:dyDescent="0.15">
      <c r="B885" s="3"/>
      <c r="C885" s="3"/>
      <c r="D885" s="3"/>
      <c r="E885" s="3"/>
      <c r="F885" s="3"/>
      <c r="G885" s="3"/>
      <c r="H885" s="3"/>
      <c r="I885" s="3"/>
    </row>
    <row r="886" spans="2:9" ht="13" x14ac:dyDescent="0.15">
      <c r="B886" s="3"/>
      <c r="C886" s="3"/>
      <c r="D886" s="3"/>
      <c r="E886" s="3"/>
      <c r="F886" s="3"/>
      <c r="G886" s="3"/>
      <c r="H886" s="3"/>
      <c r="I886" s="3"/>
    </row>
    <row r="887" spans="2:9" ht="13" x14ac:dyDescent="0.15">
      <c r="B887" s="3"/>
      <c r="C887" s="3"/>
      <c r="D887" s="3"/>
      <c r="E887" s="3"/>
      <c r="F887" s="3"/>
      <c r="G887" s="3"/>
      <c r="H887" s="3"/>
      <c r="I887" s="3"/>
    </row>
    <row r="888" spans="2:9" ht="13" x14ac:dyDescent="0.15">
      <c r="B888" s="3"/>
      <c r="C888" s="3"/>
      <c r="D888" s="3"/>
      <c r="E888" s="3"/>
      <c r="F888" s="3"/>
      <c r="G888" s="3"/>
      <c r="H888" s="3"/>
      <c r="I888" s="3"/>
    </row>
    <row r="889" spans="2:9" ht="13" x14ac:dyDescent="0.15">
      <c r="B889" s="3"/>
      <c r="C889" s="3"/>
      <c r="D889" s="3"/>
      <c r="E889" s="3"/>
      <c r="F889" s="3"/>
      <c r="G889" s="3"/>
      <c r="H889" s="3"/>
      <c r="I889" s="3"/>
    </row>
    <row r="890" spans="2:9" ht="13" x14ac:dyDescent="0.15">
      <c r="B890" s="3"/>
      <c r="C890" s="3"/>
      <c r="D890" s="3"/>
      <c r="E890" s="3"/>
      <c r="F890" s="3"/>
      <c r="G890" s="3"/>
      <c r="H890" s="3"/>
      <c r="I890" s="3"/>
    </row>
    <row r="891" spans="2:9" ht="13" x14ac:dyDescent="0.15">
      <c r="B891" s="3"/>
      <c r="C891" s="3"/>
      <c r="D891" s="3"/>
      <c r="E891" s="3"/>
      <c r="F891" s="3"/>
      <c r="G891" s="3"/>
      <c r="H891" s="3"/>
      <c r="I891" s="3"/>
    </row>
    <row r="892" spans="2:9" ht="13" x14ac:dyDescent="0.15">
      <c r="B892" s="3"/>
      <c r="C892" s="3"/>
      <c r="D892" s="3"/>
      <c r="E892" s="3"/>
      <c r="F892" s="3"/>
      <c r="G892" s="3"/>
      <c r="H892" s="3"/>
      <c r="I892" s="3"/>
    </row>
    <row r="893" spans="2:9" ht="13" x14ac:dyDescent="0.15">
      <c r="B893" s="3"/>
      <c r="C893" s="3"/>
      <c r="D893" s="3"/>
      <c r="E893" s="3"/>
      <c r="F893" s="3"/>
      <c r="G893" s="3"/>
      <c r="H893" s="3"/>
      <c r="I893" s="3"/>
    </row>
    <row r="894" spans="2:9" ht="13" x14ac:dyDescent="0.15">
      <c r="B894" s="3"/>
      <c r="C894" s="3"/>
      <c r="D894" s="3"/>
      <c r="E894" s="3"/>
      <c r="F894" s="3"/>
      <c r="G894" s="3"/>
      <c r="H894" s="3"/>
      <c r="I894" s="3"/>
    </row>
    <row r="895" spans="2:9" ht="13" x14ac:dyDescent="0.15">
      <c r="B895" s="3"/>
      <c r="C895" s="3"/>
      <c r="D895" s="3"/>
      <c r="E895" s="3"/>
      <c r="F895" s="3"/>
      <c r="G895" s="3"/>
      <c r="H895" s="3"/>
      <c r="I895" s="3"/>
    </row>
    <row r="896" spans="2:9" ht="13" x14ac:dyDescent="0.15">
      <c r="B896" s="3"/>
      <c r="C896" s="3"/>
      <c r="D896" s="3"/>
      <c r="E896" s="3"/>
      <c r="F896" s="3"/>
      <c r="G896" s="3"/>
      <c r="H896" s="3"/>
      <c r="I896" s="3"/>
    </row>
    <row r="897" spans="2:9" ht="13" x14ac:dyDescent="0.15">
      <c r="B897" s="3"/>
      <c r="C897" s="3"/>
      <c r="D897" s="3"/>
      <c r="E897" s="3"/>
      <c r="F897" s="3"/>
      <c r="G897" s="3"/>
      <c r="H897" s="3"/>
      <c r="I897" s="3"/>
    </row>
    <row r="898" spans="2:9" ht="13" x14ac:dyDescent="0.15">
      <c r="B898" s="3"/>
      <c r="C898" s="3"/>
      <c r="D898" s="3"/>
      <c r="E898" s="3"/>
      <c r="F898" s="3"/>
      <c r="G898" s="3"/>
      <c r="H898" s="3"/>
      <c r="I898" s="3"/>
    </row>
    <row r="899" spans="2:9" ht="13" x14ac:dyDescent="0.15">
      <c r="B899" s="3"/>
      <c r="C899" s="3"/>
      <c r="D899" s="3"/>
      <c r="E899" s="3"/>
      <c r="F899" s="3"/>
      <c r="G899" s="3"/>
      <c r="H899" s="3"/>
      <c r="I899" s="3"/>
    </row>
    <row r="900" spans="2:9" ht="13" x14ac:dyDescent="0.15">
      <c r="B900" s="3"/>
      <c r="C900" s="3"/>
      <c r="D900" s="3"/>
      <c r="E900" s="3"/>
      <c r="F900" s="3"/>
      <c r="G900" s="3"/>
      <c r="H900" s="3"/>
      <c r="I900" s="3"/>
    </row>
    <row r="901" spans="2:9" ht="13" x14ac:dyDescent="0.15">
      <c r="B901" s="3"/>
      <c r="C901" s="3"/>
      <c r="D901" s="3"/>
      <c r="E901" s="3"/>
      <c r="F901" s="3"/>
      <c r="G901" s="3"/>
      <c r="H901" s="3"/>
      <c r="I901" s="3"/>
    </row>
    <row r="902" spans="2:9" ht="13" x14ac:dyDescent="0.15">
      <c r="B902" s="3"/>
      <c r="C902" s="3"/>
      <c r="D902" s="3"/>
      <c r="E902" s="3"/>
      <c r="F902" s="3"/>
      <c r="G902" s="3"/>
      <c r="H902" s="3"/>
      <c r="I902" s="3"/>
    </row>
    <row r="903" spans="2:9" ht="13" x14ac:dyDescent="0.15">
      <c r="B903" s="3"/>
      <c r="C903" s="3"/>
      <c r="D903" s="3"/>
      <c r="E903" s="3"/>
      <c r="F903" s="3"/>
      <c r="G903" s="3"/>
      <c r="H903" s="3"/>
      <c r="I903" s="3"/>
    </row>
    <row r="904" spans="2:9" ht="13" x14ac:dyDescent="0.15">
      <c r="B904" s="3"/>
      <c r="C904" s="3"/>
      <c r="D904" s="3"/>
      <c r="E904" s="3"/>
      <c r="F904" s="3"/>
      <c r="G904" s="3"/>
      <c r="H904" s="3"/>
      <c r="I904" s="3"/>
    </row>
    <row r="905" spans="2:9" ht="13" x14ac:dyDescent="0.15">
      <c r="B905" s="3"/>
      <c r="C905" s="3"/>
      <c r="D905" s="3"/>
      <c r="E905" s="3"/>
      <c r="F905" s="3"/>
      <c r="G905" s="3"/>
      <c r="H905" s="3"/>
      <c r="I905" s="3"/>
    </row>
    <row r="906" spans="2:9" ht="13" x14ac:dyDescent="0.15">
      <c r="B906" s="3"/>
      <c r="C906" s="3"/>
      <c r="D906" s="3"/>
      <c r="E906" s="3"/>
      <c r="F906" s="3"/>
      <c r="G906" s="3"/>
      <c r="H906" s="3"/>
      <c r="I906" s="3"/>
    </row>
    <row r="907" spans="2:9" ht="13" x14ac:dyDescent="0.15">
      <c r="B907" s="3"/>
      <c r="C907" s="3"/>
      <c r="D907" s="3"/>
      <c r="E907" s="3"/>
      <c r="F907" s="3"/>
      <c r="G907" s="3"/>
      <c r="H907" s="3"/>
      <c r="I907" s="3"/>
    </row>
    <row r="908" spans="2:9" ht="13" x14ac:dyDescent="0.15">
      <c r="B908" s="3"/>
      <c r="C908" s="3"/>
      <c r="D908" s="3"/>
      <c r="E908" s="3"/>
      <c r="F908" s="3"/>
      <c r="G908" s="3"/>
      <c r="H908" s="3"/>
      <c r="I908" s="3"/>
    </row>
    <row r="909" spans="2:9" ht="13" x14ac:dyDescent="0.15">
      <c r="B909" s="3"/>
      <c r="C909" s="3"/>
      <c r="D909" s="3"/>
      <c r="E909" s="3"/>
      <c r="F909" s="3"/>
      <c r="G909" s="3"/>
      <c r="H909" s="3"/>
      <c r="I909" s="3"/>
    </row>
    <row r="910" spans="2:9" ht="13" x14ac:dyDescent="0.15">
      <c r="B910" s="3"/>
      <c r="C910" s="3"/>
      <c r="D910" s="3"/>
      <c r="E910" s="3"/>
      <c r="F910" s="3"/>
      <c r="G910" s="3"/>
      <c r="H910" s="3"/>
      <c r="I910" s="3"/>
    </row>
    <row r="911" spans="2:9" ht="13" x14ac:dyDescent="0.15">
      <c r="B911" s="3"/>
      <c r="C911" s="3"/>
      <c r="D911" s="3"/>
      <c r="E911" s="3"/>
      <c r="F911" s="3"/>
      <c r="G911" s="3"/>
      <c r="H911" s="3"/>
      <c r="I911" s="3"/>
    </row>
    <row r="912" spans="2:9" ht="13" x14ac:dyDescent="0.15">
      <c r="B912" s="3"/>
      <c r="C912" s="3"/>
      <c r="D912" s="3"/>
      <c r="E912" s="3"/>
      <c r="F912" s="3"/>
      <c r="G912" s="3"/>
      <c r="H912" s="3"/>
      <c r="I912" s="3"/>
    </row>
    <row r="913" spans="2:9" ht="13" x14ac:dyDescent="0.15">
      <c r="B913" s="3"/>
      <c r="C913" s="3"/>
      <c r="D913" s="3"/>
      <c r="E913" s="3"/>
      <c r="F913" s="3"/>
      <c r="G913" s="3"/>
      <c r="H913" s="3"/>
      <c r="I913" s="3"/>
    </row>
    <row r="914" spans="2:9" ht="13" x14ac:dyDescent="0.15">
      <c r="B914" s="3"/>
      <c r="C914" s="3"/>
      <c r="D914" s="3"/>
      <c r="E914" s="3"/>
      <c r="F914" s="3"/>
      <c r="G914" s="3"/>
      <c r="H914" s="3"/>
      <c r="I914" s="3"/>
    </row>
    <row r="915" spans="2:9" ht="13" x14ac:dyDescent="0.15">
      <c r="B915" s="3"/>
      <c r="C915" s="3"/>
      <c r="D915" s="3"/>
      <c r="E915" s="3"/>
      <c r="F915" s="3"/>
      <c r="G915" s="3"/>
      <c r="H915" s="3"/>
      <c r="I915" s="3"/>
    </row>
    <row r="916" spans="2:9" ht="13" x14ac:dyDescent="0.15">
      <c r="B916" s="3"/>
      <c r="C916" s="3"/>
      <c r="D916" s="3"/>
      <c r="E916" s="3"/>
      <c r="F916" s="3"/>
      <c r="G916" s="3"/>
      <c r="H916" s="3"/>
      <c r="I916" s="3"/>
    </row>
    <row r="917" spans="2:9" ht="13" x14ac:dyDescent="0.15">
      <c r="B917" s="3"/>
      <c r="C917" s="3"/>
      <c r="D917" s="3"/>
      <c r="E917" s="3"/>
      <c r="F917" s="3"/>
      <c r="G917" s="3"/>
      <c r="H917" s="3"/>
      <c r="I917" s="3"/>
    </row>
    <row r="918" spans="2:9" ht="13" x14ac:dyDescent="0.15">
      <c r="B918" s="3"/>
      <c r="C918" s="3"/>
      <c r="D918" s="3"/>
      <c r="E918" s="3"/>
      <c r="F918" s="3"/>
      <c r="G918" s="3"/>
      <c r="H918" s="3"/>
      <c r="I918" s="3"/>
    </row>
    <row r="919" spans="2:9" ht="13" x14ac:dyDescent="0.15">
      <c r="B919" s="3"/>
      <c r="C919" s="3"/>
      <c r="D919" s="3"/>
      <c r="E919" s="3"/>
      <c r="F919" s="3"/>
      <c r="G919" s="3"/>
      <c r="H919" s="3"/>
      <c r="I919" s="3"/>
    </row>
    <row r="920" spans="2:9" ht="13" x14ac:dyDescent="0.15">
      <c r="B920" s="3"/>
      <c r="C920" s="3"/>
      <c r="D920" s="3"/>
      <c r="E920" s="3"/>
      <c r="F920" s="3"/>
      <c r="G920" s="3"/>
      <c r="H920" s="3"/>
      <c r="I920" s="3"/>
    </row>
    <row r="921" spans="2:9" ht="13" x14ac:dyDescent="0.15">
      <c r="B921" s="3"/>
      <c r="C921" s="3"/>
      <c r="D921" s="3"/>
      <c r="E921" s="3"/>
      <c r="F921" s="3"/>
      <c r="G921" s="3"/>
      <c r="H921" s="3"/>
      <c r="I921" s="3"/>
    </row>
    <row r="922" spans="2:9" ht="13" x14ac:dyDescent="0.15">
      <c r="B922" s="3"/>
      <c r="C922" s="3"/>
      <c r="D922" s="3"/>
      <c r="E922" s="3"/>
      <c r="F922" s="3"/>
      <c r="G922" s="3"/>
      <c r="H922" s="3"/>
      <c r="I922" s="3"/>
    </row>
    <row r="923" spans="2:9" ht="13" x14ac:dyDescent="0.15">
      <c r="B923" s="3"/>
      <c r="C923" s="3"/>
      <c r="D923" s="3"/>
      <c r="E923" s="3"/>
      <c r="F923" s="3"/>
      <c r="G923" s="3"/>
      <c r="H923" s="3"/>
      <c r="I923" s="3"/>
    </row>
    <row r="924" spans="2:9" ht="13" x14ac:dyDescent="0.15">
      <c r="B924" s="3"/>
      <c r="C924" s="3"/>
      <c r="D924" s="3"/>
      <c r="E924" s="3"/>
      <c r="F924" s="3"/>
      <c r="G924" s="3"/>
      <c r="H924" s="3"/>
      <c r="I924" s="3"/>
    </row>
    <row r="925" spans="2:9" ht="13" x14ac:dyDescent="0.15">
      <c r="B925" s="3"/>
      <c r="C925" s="3"/>
      <c r="D925" s="3"/>
      <c r="E925" s="3"/>
      <c r="F925" s="3"/>
      <c r="G925" s="3"/>
      <c r="H925" s="3"/>
      <c r="I925" s="3"/>
    </row>
    <row r="926" spans="2:9" ht="13" x14ac:dyDescent="0.15">
      <c r="B926" s="3"/>
      <c r="C926" s="3"/>
      <c r="D926" s="3"/>
      <c r="E926" s="3"/>
      <c r="F926" s="3"/>
      <c r="G926" s="3"/>
      <c r="H926" s="3"/>
      <c r="I926" s="3"/>
    </row>
    <row r="927" spans="2:9" ht="13" x14ac:dyDescent="0.15">
      <c r="B927" s="3"/>
      <c r="C927" s="3"/>
      <c r="D927" s="3"/>
      <c r="E927" s="3"/>
      <c r="F927" s="3"/>
      <c r="G927" s="3"/>
      <c r="H927" s="3"/>
      <c r="I927" s="3"/>
    </row>
    <row r="928" spans="2:9" ht="13" x14ac:dyDescent="0.15">
      <c r="B928" s="3"/>
      <c r="C928" s="3"/>
      <c r="D928" s="3"/>
      <c r="E928" s="3"/>
      <c r="F928" s="3"/>
      <c r="G928" s="3"/>
      <c r="H928" s="3"/>
      <c r="I928" s="3"/>
    </row>
    <row r="929" spans="2:9" ht="13" x14ac:dyDescent="0.15">
      <c r="B929" s="3"/>
      <c r="C929" s="3"/>
      <c r="D929" s="3"/>
      <c r="E929" s="3"/>
      <c r="F929" s="3"/>
      <c r="G929" s="3"/>
      <c r="H929" s="3"/>
      <c r="I929" s="3"/>
    </row>
    <row r="930" spans="2:9" ht="13" x14ac:dyDescent="0.15">
      <c r="B930" s="3"/>
      <c r="C930" s="3"/>
      <c r="D930" s="3"/>
      <c r="E930" s="3"/>
      <c r="F930" s="3"/>
      <c r="G930" s="3"/>
      <c r="H930" s="3"/>
      <c r="I930" s="3"/>
    </row>
    <row r="931" spans="2:9" ht="13" x14ac:dyDescent="0.15">
      <c r="B931" s="3"/>
      <c r="C931" s="3"/>
      <c r="D931" s="3"/>
      <c r="E931" s="3"/>
      <c r="F931" s="3"/>
      <c r="G931" s="3"/>
      <c r="H931" s="3"/>
      <c r="I931" s="3"/>
    </row>
    <row r="932" spans="2:9" ht="13" x14ac:dyDescent="0.15">
      <c r="B932" s="3"/>
      <c r="C932" s="3"/>
      <c r="D932" s="3"/>
      <c r="E932" s="3"/>
      <c r="F932" s="3"/>
      <c r="G932" s="3"/>
      <c r="H932" s="3"/>
      <c r="I932" s="3"/>
    </row>
    <row r="933" spans="2:9" ht="13" x14ac:dyDescent="0.15">
      <c r="B933" s="3"/>
      <c r="C933" s="3"/>
      <c r="D933" s="3"/>
      <c r="E933" s="3"/>
      <c r="F933" s="3"/>
      <c r="G933" s="3"/>
      <c r="H933" s="3"/>
      <c r="I933" s="3"/>
    </row>
    <row r="934" spans="2:9" ht="13" x14ac:dyDescent="0.15">
      <c r="B934" s="3"/>
      <c r="C934" s="3"/>
      <c r="D934" s="3"/>
      <c r="E934" s="3"/>
      <c r="F934" s="3"/>
      <c r="G934" s="3"/>
      <c r="H934" s="3"/>
      <c r="I934" s="3"/>
    </row>
    <row r="935" spans="2:9" ht="13" x14ac:dyDescent="0.15">
      <c r="B935" s="3"/>
      <c r="C935" s="3"/>
      <c r="D935" s="3"/>
      <c r="E935" s="3"/>
      <c r="F935" s="3"/>
      <c r="G935" s="3"/>
      <c r="H935" s="3"/>
      <c r="I935" s="3"/>
    </row>
    <row r="936" spans="2:9" ht="13" x14ac:dyDescent="0.15">
      <c r="B936" s="3"/>
      <c r="C936" s="3"/>
      <c r="D936" s="3"/>
      <c r="E936" s="3"/>
      <c r="F936" s="3"/>
      <c r="G936" s="3"/>
      <c r="H936" s="3"/>
      <c r="I936" s="3"/>
    </row>
    <row r="937" spans="2:9" ht="13" x14ac:dyDescent="0.15">
      <c r="B937" s="3"/>
      <c r="C937" s="3"/>
      <c r="D937" s="3"/>
      <c r="E937" s="3"/>
      <c r="F937" s="3"/>
      <c r="G937" s="3"/>
      <c r="H937" s="3"/>
      <c r="I937" s="3"/>
    </row>
    <row r="938" spans="2:9" ht="13" x14ac:dyDescent="0.15">
      <c r="B938" s="3"/>
      <c r="C938" s="3"/>
      <c r="D938" s="3"/>
      <c r="E938" s="3"/>
      <c r="F938" s="3"/>
      <c r="G938" s="3"/>
      <c r="H938" s="3"/>
      <c r="I938" s="3"/>
    </row>
    <row r="939" spans="2:9" ht="13" x14ac:dyDescent="0.15">
      <c r="B939" s="3"/>
      <c r="C939" s="3"/>
      <c r="D939" s="3"/>
      <c r="E939" s="3"/>
      <c r="F939" s="3"/>
      <c r="G939" s="3"/>
      <c r="H939" s="3"/>
      <c r="I939" s="3"/>
    </row>
    <row r="940" spans="2:9" ht="13" x14ac:dyDescent="0.15">
      <c r="B940" s="3"/>
      <c r="C940" s="3"/>
      <c r="D940" s="3"/>
      <c r="E940" s="3"/>
      <c r="F940" s="3"/>
      <c r="G940" s="3"/>
      <c r="H940" s="3"/>
      <c r="I940" s="3"/>
    </row>
    <row r="941" spans="2:9" ht="13" x14ac:dyDescent="0.15">
      <c r="B941" s="3"/>
      <c r="C941" s="3"/>
      <c r="D941" s="3"/>
      <c r="E941" s="3"/>
      <c r="F941" s="3"/>
      <c r="G941" s="3"/>
      <c r="H941" s="3"/>
      <c r="I941" s="3"/>
    </row>
    <row r="942" spans="2:9" ht="13" x14ac:dyDescent="0.15">
      <c r="B942" s="3"/>
      <c r="C942" s="3"/>
      <c r="D942" s="3"/>
      <c r="E942" s="3"/>
      <c r="F942" s="3"/>
      <c r="G942" s="3"/>
      <c r="H942" s="3"/>
      <c r="I942" s="3"/>
    </row>
    <row r="943" spans="2:9" ht="13" x14ac:dyDescent="0.15">
      <c r="B943" s="3"/>
      <c r="C943" s="3"/>
      <c r="D943" s="3"/>
      <c r="E943" s="3"/>
      <c r="F943" s="3"/>
      <c r="G943" s="3"/>
      <c r="H943" s="3"/>
      <c r="I943" s="3"/>
    </row>
    <row r="944" spans="2:9" ht="13" x14ac:dyDescent="0.15">
      <c r="B944" s="3"/>
      <c r="C944" s="3"/>
      <c r="D944" s="3"/>
      <c r="E944" s="3"/>
      <c r="F944" s="3"/>
      <c r="G944" s="3"/>
      <c r="H944" s="3"/>
      <c r="I944" s="3"/>
    </row>
    <row r="945" spans="2:9" ht="13" x14ac:dyDescent="0.15">
      <c r="B945" s="3"/>
      <c r="C945" s="3"/>
      <c r="D945" s="3"/>
      <c r="E945" s="3"/>
      <c r="F945" s="3"/>
      <c r="G945" s="3"/>
      <c r="H945" s="3"/>
      <c r="I945" s="3"/>
    </row>
    <row r="946" spans="2:9" ht="13" x14ac:dyDescent="0.15">
      <c r="B946" s="3"/>
      <c r="C946" s="3"/>
      <c r="D946" s="3"/>
      <c r="E946" s="3"/>
      <c r="F946" s="3"/>
      <c r="G946" s="3"/>
      <c r="H946" s="3"/>
      <c r="I946" s="3"/>
    </row>
    <row r="947" spans="2:9" ht="13" x14ac:dyDescent="0.15">
      <c r="B947" s="3"/>
      <c r="C947" s="3"/>
      <c r="D947" s="3"/>
      <c r="E947" s="3"/>
      <c r="F947" s="3"/>
      <c r="G947" s="3"/>
      <c r="H947" s="3"/>
      <c r="I947" s="3"/>
    </row>
    <row r="948" spans="2:9" ht="13" x14ac:dyDescent="0.15">
      <c r="B948" s="3"/>
      <c r="C948" s="3"/>
      <c r="D948" s="3"/>
      <c r="E948" s="3"/>
      <c r="F948" s="3"/>
      <c r="G948" s="3"/>
      <c r="H948" s="3"/>
      <c r="I948" s="3"/>
    </row>
    <row r="949" spans="2:9" ht="13" x14ac:dyDescent="0.15">
      <c r="B949" s="3"/>
      <c r="C949" s="3"/>
      <c r="D949" s="3"/>
      <c r="E949" s="3"/>
      <c r="F949" s="3"/>
      <c r="G949" s="3"/>
      <c r="H949" s="3"/>
      <c r="I949" s="3"/>
    </row>
    <row r="950" spans="2:9" ht="13" x14ac:dyDescent="0.15">
      <c r="B950" s="3"/>
      <c r="C950" s="3"/>
      <c r="D950" s="3"/>
      <c r="E950" s="3"/>
      <c r="F950" s="3"/>
      <c r="G950" s="3"/>
      <c r="H950" s="3"/>
      <c r="I950" s="3"/>
    </row>
    <row r="951" spans="2:9" ht="13" x14ac:dyDescent="0.15">
      <c r="B951" s="3"/>
      <c r="C951" s="3"/>
      <c r="D951" s="3"/>
      <c r="E951" s="3"/>
      <c r="F951" s="3"/>
      <c r="G951" s="3"/>
      <c r="H951" s="3"/>
      <c r="I951" s="3"/>
    </row>
    <row r="952" spans="2:9" ht="13" x14ac:dyDescent="0.15">
      <c r="B952" s="3"/>
      <c r="C952" s="3"/>
      <c r="D952" s="3"/>
      <c r="E952" s="3"/>
      <c r="F952" s="3"/>
      <c r="G952" s="3"/>
      <c r="H952" s="3"/>
      <c r="I952" s="3"/>
    </row>
    <row r="953" spans="2:9" ht="13" x14ac:dyDescent="0.15">
      <c r="B953" s="3"/>
      <c r="C953" s="3"/>
      <c r="D953" s="3"/>
      <c r="E953" s="3"/>
      <c r="F953" s="3"/>
      <c r="G953" s="3"/>
      <c r="H953" s="3"/>
      <c r="I953" s="3"/>
    </row>
    <row r="954" spans="2:9" ht="13" x14ac:dyDescent="0.15">
      <c r="B954" s="3"/>
      <c r="C954" s="3"/>
      <c r="D954" s="3"/>
      <c r="E954" s="3"/>
      <c r="F954" s="3"/>
      <c r="G954" s="3"/>
      <c r="H954" s="3"/>
      <c r="I954" s="3"/>
    </row>
    <row r="955" spans="2:9" ht="13" x14ac:dyDescent="0.15">
      <c r="B955" s="3"/>
      <c r="C955" s="3"/>
      <c r="D955" s="3"/>
      <c r="E955" s="3"/>
      <c r="F955" s="3"/>
      <c r="G955" s="3"/>
      <c r="H955" s="3"/>
      <c r="I955" s="3"/>
    </row>
    <row r="956" spans="2:9" ht="13" x14ac:dyDescent="0.15">
      <c r="B956" s="3"/>
      <c r="C956" s="3"/>
      <c r="D956" s="3"/>
      <c r="E956" s="3"/>
      <c r="F956" s="3"/>
      <c r="G956" s="3"/>
      <c r="H956" s="3"/>
      <c r="I956" s="3"/>
    </row>
    <row r="957" spans="2:9" ht="13" x14ac:dyDescent="0.15">
      <c r="B957" s="3"/>
      <c r="C957" s="3"/>
      <c r="D957" s="3"/>
      <c r="E957" s="3"/>
      <c r="F957" s="3"/>
      <c r="G957" s="3"/>
      <c r="H957" s="3"/>
      <c r="I957" s="3"/>
    </row>
    <row r="958" spans="2:9" ht="13" x14ac:dyDescent="0.15">
      <c r="B958" s="3"/>
      <c r="C958" s="3"/>
      <c r="D958" s="3"/>
      <c r="E958" s="3"/>
      <c r="F958" s="3"/>
      <c r="G958" s="3"/>
      <c r="H958" s="3"/>
      <c r="I958" s="3"/>
    </row>
    <row r="959" spans="2:9" ht="13" x14ac:dyDescent="0.15">
      <c r="B959" s="3"/>
      <c r="C959" s="3"/>
      <c r="D959" s="3"/>
      <c r="E959" s="3"/>
      <c r="F959" s="3"/>
      <c r="G959" s="3"/>
      <c r="H959" s="3"/>
      <c r="I959" s="3"/>
    </row>
    <row r="960" spans="2:9" ht="13" x14ac:dyDescent="0.15">
      <c r="B960" s="3"/>
      <c r="C960" s="3"/>
      <c r="D960" s="3"/>
      <c r="E960" s="3"/>
      <c r="F960" s="3"/>
      <c r="G960" s="3"/>
      <c r="H960" s="3"/>
      <c r="I960" s="3"/>
    </row>
    <row r="961" spans="2:9" ht="13" x14ac:dyDescent="0.15">
      <c r="B961" s="3"/>
      <c r="C961" s="3"/>
      <c r="D961" s="3"/>
      <c r="E961" s="3"/>
      <c r="F961" s="3"/>
      <c r="G961" s="3"/>
      <c r="H961" s="3"/>
      <c r="I961" s="3"/>
    </row>
    <row r="962" spans="2:9" ht="13" x14ac:dyDescent="0.15">
      <c r="B962" s="3"/>
      <c r="C962" s="3"/>
      <c r="D962" s="3"/>
      <c r="E962" s="3"/>
      <c r="F962" s="3"/>
      <c r="G962" s="3"/>
      <c r="H962" s="3"/>
      <c r="I962" s="3"/>
    </row>
    <row r="963" spans="2:9" ht="13" x14ac:dyDescent="0.15">
      <c r="B963" s="3"/>
      <c r="C963" s="3"/>
      <c r="D963" s="3"/>
      <c r="E963" s="3"/>
      <c r="F963" s="3"/>
      <c r="G963" s="3"/>
      <c r="H963" s="3"/>
      <c r="I963" s="3"/>
    </row>
    <row r="964" spans="2:9" ht="13" x14ac:dyDescent="0.15">
      <c r="B964" s="3"/>
      <c r="C964" s="3"/>
      <c r="D964" s="3"/>
      <c r="E964" s="3"/>
      <c r="F964" s="3"/>
      <c r="G964" s="3"/>
      <c r="H964" s="3"/>
      <c r="I964" s="3"/>
    </row>
    <row r="965" spans="2:9" ht="13" x14ac:dyDescent="0.15">
      <c r="B965" s="3"/>
      <c r="C965" s="3"/>
      <c r="D965" s="3"/>
      <c r="E965" s="3"/>
      <c r="F965" s="3"/>
      <c r="G965" s="3"/>
      <c r="H965" s="3"/>
      <c r="I965" s="3"/>
    </row>
    <row r="966" spans="2:9" ht="13" x14ac:dyDescent="0.15">
      <c r="B966" s="3"/>
      <c r="C966" s="3"/>
      <c r="D966" s="3"/>
      <c r="E966" s="3"/>
      <c r="F966" s="3"/>
      <c r="G966" s="3"/>
      <c r="H966" s="3"/>
      <c r="I966" s="3"/>
    </row>
    <row r="967" spans="2:9" ht="13" x14ac:dyDescent="0.15">
      <c r="B967" s="3"/>
      <c r="C967" s="3"/>
      <c r="D967" s="3"/>
      <c r="E967" s="3"/>
      <c r="F967" s="3"/>
      <c r="G967" s="3"/>
      <c r="H967" s="3"/>
      <c r="I967" s="3"/>
    </row>
    <row r="968" spans="2:9" ht="13" x14ac:dyDescent="0.15">
      <c r="B968" s="3"/>
      <c r="C968" s="3"/>
      <c r="D968" s="3"/>
      <c r="E968" s="3"/>
      <c r="F968" s="3"/>
      <c r="G968" s="3"/>
      <c r="H968" s="3"/>
      <c r="I968" s="3"/>
    </row>
    <row r="969" spans="2:9" ht="13" x14ac:dyDescent="0.15">
      <c r="B969" s="3"/>
      <c r="C969" s="3"/>
      <c r="D969" s="3"/>
      <c r="E969" s="3"/>
      <c r="F969" s="3"/>
      <c r="G969" s="3"/>
      <c r="H969" s="3"/>
      <c r="I969" s="3"/>
    </row>
    <row r="970" spans="2:9" ht="13" x14ac:dyDescent="0.15">
      <c r="B970" s="3"/>
      <c r="C970" s="3"/>
      <c r="D970" s="3"/>
      <c r="E970" s="3"/>
      <c r="F970" s="3"/>
      <c r="G970" s="3"/>
      <c r="H970" s="3"/>
      <c r="I970" s="3"/>
    </row>
    <row r="971" spans="2:9" ht="13" x14ac:dyDescent="0.15">
      <c r="B971" s="3"/>
      <c r="C971" s="3"/>
      <c r="D971" s="3"/>
      <c r="E971" s="3"/>
      <c r="F971" s="3"/>
      <c r="G971" s="3"/>
      <c r="H971" s="3"/>
      <c r="I971" s="3"/>
    </row>
    <row r="972" spans="2:9" ht="13" x14ac:dyDescent="0.15">
      <c r="B972" s="3"/>
      <c r="C972" s="3"/>
      <c r="D972" s="3"/>
      <c r="E972" s="3"/>
      <c r="F972" s="3"/>
      <c r="G972" s="3"/>
      <c r="H972" s="3"/>
      <c r="I972" s="3"/>
    </row>
    <row r="973" spans="2:9" ht="13" x14ac:dyDescent="0.15">
      <c r="B973" s="3"/>
      <c r="C973" s="3"/>
      <c r="D973" s="3"/>
      <c r="E973" s="3"/>
      <c r="F973" s="3"/>
      <c r="G973" s="3"/>
      <c r="H973" s="3"/>
      <c r="I973" s="3"/>
    </row>
    <row r="974" spans="2:9" ht="13" x14ac:dyDescent="0.15">
      <c r="B974" s="3"/>
      <c r="C974" s="3"/>
      <c r="D974" s="3"/>
      <c r="E974" s="3"/>
      <c r="F974" s="3"/>
      <c r="G974" s="3"/>
      <c r="H974" s="3"/>
      <c r="I974" s="3"/>
    </row>
    <row r="975" spans="2:9" ht="13" x14ac:dyDescent="0.15">
      <c r="B975" s="3"/>
      <c r="C975" s="3"/>
      <c r="D975" s="3"/>
      <c r="E975" s="3"/>
      <c r="F975" s="3"/>
      <c r="G975" s="3"/>
      <c r="H975" s="3"/>
      <c r="I975" s="3"/>
    </row>
    <row r="976" spans="2:9" ht="13" x14ac:dyDescent="0.15">
      <c r="B976" s="3"/>
      <c r="C976" s="3"/>
      <c r="D976" s="3"/>
      <c r="E976" s="3"/>
      <c r="F976" s="3"/>
      <c r="G976" s="3"/>
      <c r="H976" s="3"/>
      <c r="I976" s="3"/>
    </row>
    <row r="977" spans="2:9" ht="13" x14ac:dyDescent="0.15">
      <c r="B977" s="3"/>
      <c r="C977" s="3"/>
      <c r="D977" s="3"/>
      <c r="E977" s="3"/>
      <c r="F977" s="3"/>
      <c r="G977" s="3"/>
      <c r="H977" s="3"/>
      <c r="I977" s="3"/>
    </row>
    <row r="978" spans="2:9" ht="13" x14ac:dyDescent="0.15">
      <c r="B978" s="3"/>
      <c r="C978" s="3"/>
      <c r="D978" s="3"/>
      <c r="E978" s="3"/>
      <c r="F978" s="3"/>
      <c r="G978" s="3"/>
      <c r="H978" s="3"/>
      <c r="I978" s="3"/>
    </row>
    <row r="979" spans="2:9" ht="13" x14ac:dyDescent="0.15">
      <c r="B979" s="3"/>
      <c r="C979" s="3"/>
      <c r="D979" s="3"/>
      <c r="E979" s="3"/>
      <c r="F979" s="3"/>
      <c r="G979" s="3"/>
      <c r="H979" s="3"/>
      <c r="I979" s="3"/>
    </row>
    <row r="980" spans="2:9" ht="13" x14ac:dyDescent="0.15">
      <c r="B980" s="3"/>
      <c r="C980" s="3"/>
      <c r="D980" s="3"/>
      <c r="E980" s="3"/>
      <c r="F980" s="3"/>
      <c r="G980" s="3"/>
      <c r="H980" s="3"/>
      <c r="I980" s="3"/>
    </row>
    <row r="981" spans="2:9" ht="13" x14ac:dyDescent="0.15">
      <c r="B981" s="3"/>
      <c r="C981" s="3"/>
      <c r="D981" s="3"/>
      <c r="E981" s="3"/>
      <c r="F981" s="3"/>
      <c r="G981" s="3"/>
      <c r="H981" s="3"/>
      <c r="I981" s="3"/>
    </row>
    <row r="982" spans="2:9" ht="13" x14ac:dyDescent="0.15">
      <c r="B982" s="3"/>
      <c r="C982" s="3"/>
      <c r="D982" s="3"/>
      <c r="E982" s="3"/>
      <c r="F982" s="3"/>
      <c r="G982" s="3"/>
      <c r="H982" s="3"/>
      <c r="I982" s="3"/>
    </row>
    <row r="983" spans="2:9" ht="13" x14ac:dyDescent="0.15">
      <c r="B983" s="3"/>
      <c r="C983" s="3"/>
      <c r="D983" s="3"/>
      <c r="E983" s="3"/>
      <c r="F983" s="3"/>
      <c r="G983" s="3"/>
      <c r="H983" s="3"/>
      <c r="I983" s="3"/>
    </row>
    <row r="984" spans="2:9" ht="13" x14ac:dyDescent="0.15">
      <c r="B984" s="3"/>
      <c r="C984" s="3"/>
      <c r="D984" s="3"/>
      <c r="E984" s="3"/>
      <c r="F984" s="3"/>
      <c r="G984" s="3"/>
      <c r="H984" s="3"/>
      <c r="I984" s="3"/>
    </row>
    <row r="985" spans="2:9" ht="13" x14ac:dyDescent="0.15">
      <c r="B985" s="3"/>
      <c r="C985" s="3"/>
      <c r="D985" s="3"/>
      <c r="E985" s="3"/>
      <c r="F985" s="3"/>
      <c r="G985" s="3"/>
      <c r="H985" s="3"/>
      <c r="I985" s="3"/>
    </row>
    <row r="986" spans="2:9" ht="13" x14ac:dyDescent="0.15">
      <c r="B986" s="3"/>
      <c r="C986" s="3"/>
      <c r="D986" s="3"/>
      <c r="E986" s="3"/>
      <c r="F986" s="3"/>
      <c r="G986" s="3"/>
      <c r="H986" s="3"/>
      <c r="I986" s="3"/>
    </row>
    <row r="987" spans="2:9" ht="13" x14ac:dyDescent="0.15">
      <c r="B987" s="3"/>
      <c r="C987" s="3"/>
      <c r="D987" s="3"/>
      <c r="E987" s="3"/>
      <c r="F987" s="3"/>
      <c r="G987" s="3"/>
      <c r="H987" s="3"/>
      <c r="I987" s="3"/>
    </row>
    <row r="988" spans="2:9" ht="13" x14ac:dyDescent="0.15">
      <c r="B988" s="3"/>
      <c r="C988" s="3"/>
      <c r="D988" s="3"/>
      <c r="E988" s="3"/>
      <c r="F988" s="3"/>
      <c r="G988" s="3"/>
      <c r="H988" s="3"/>
      <c r="I988" s="3"/>
    </row>
    <row r="989" spans="2:9" ht="13" x14ac:dyDescent="0.15">
      <c r="B989" s="3"/>
      <c r="C989" s="3"/>
      <c r="D989" s="3"/>
      <c r="E989" s="3"/>
      <c r="F989" s="3"/>
      <c r="G989" s="3"/>
      <c r="H989" s="3"/>
      <c r="I989" s="3"/>
    </row>
    <row r="990" spans="2:9" ht="13" x14ac:dyDescent="0.15">
      <c r="B990" s="3"/>
      <c r="C990" s="3"/>
      <c r="D990" s="3"/>
      <c r="E990" s="3"/>
      <c r="F990" s="3"/>
      <c r="G990" s="3"/>
      <c r="H990" s="3"/>
      <c r="I990" s="3"/>
    </row>
    <row r="991" spans="2:9" ht="13" x14ac:dyDescent="0.15">
      <c r="B991" s="3"/>
      <c r="C991" s="3"/>
      <c r="D991" s="3"/>
      <c r="E991" s="3"/>
      <c r="F991" s="3"/>
      <c r="G991" s="3"/>
      <c r="H991" s="3"/>
      <c r="I991" s="3"/>
    </row>
    <row r="992" spans="2:9" ht="13" x14ac:dyDescent="0.15">
      <c r="B992" s="3"/>
      <c r="C992" s="3"/>
      <c r="D992" s="3"/>
      <c r="E992" s="3"/>
      <c r="F992" s="3"/>
      <c r="G992" s="3"/>
      <c r="H992" s="3"/>
      <c r="I992" s="3"/>
    </row>
    <row r="993" spans="2:9" ht="13" x14ac:dyDescent="0.15">
      <c r="B993" s="3"/>
      <c r="C993" s="3"/>
      <c r="D993" s="3"/>
      <c r="E993" s="3"/>
      <c r="F993" s="3"/>
      <c r="G993" s="3"/>
      <c r="H993" s="3"/>
      <c r="I993" s="3"/>
    </row>
    <row r="994" spans="2:9" ht="13" x14ac:dyDescent="0.15">
      <c r="B994" s="3"/>
      <c r="C994" s="3"/>
      <c r="D994" s="3"/>
      <c r="E994" s="3"/>
      <c r="F994" s="3"/>
      <c r="G994" s="3"/>
      <c r="H994" s="3"/>
      <c r="I994" s="3"/>
    </row>
    <row r="995" spans="2:9" ht="13" x14ac:dyDescent="0.15">
      <c r="B995" s="3"/>
      <c r="C995" s="3"/>
      <c r="D995" s="3"/>
      <c r="E995" s="3"/>
      <c r="F995" s="3"/>
      <c r="G995" s="3"/>
      <c r="H995" s="3"/>
      <c r="I995" s="3"/>
    </row>
    <row r="996" spans="2:9" ht="13" x14ac:dyDescent="0.15">
      <c r="B996" s="3"/>
      <c r="C996" s="3"/>
      <c r="D996" s="3"/>
      <c r="E996" s="3"/>
      <c r="F996" s="3"/>
      <c r="G996" s="3"/>
      <c r="H996" s="3"/>
      <c r="I996" s="3"/>
    </row>
    <row r="997" spans="2:9" ht="13" x14ac:dyDescent="0.15">
      <c r="B997" s="3"/>
      <c r="C997" s="3"/>
      <c r="D997" s="3"/>
      <c r="E997" s="3"/>
      <c r="F997" s="3"/>
      <c r="G997" s="3"/>
      <c r="H997" s="3"/>
      <c r="I997" s="3"/>
    </row>
    <row r="998" spans="2:9" ht="13" x14ac:dyDescent="0.15">
      <c r="B998" s="3"/>
      <c r="C998" s="3"/>
      <c r="D998" s="3"/>
      <c r="E998" s="3"/>
      <c r="F998" s="3"/>
      <c r="G998" s="3"/>
      <c r="H998" s="3"/>
      <c r="I998" s="3"/>
    </row>
    <row r="999" spans="2:9" ht="13" x14ac:dyDescent="0.15">
      <c r="B999" s="3"/>
      <c r="C999" s="3"/>
      <c r="D999" s="3"/>
      <c r="E999" s="3"/>
      <c r="F999" s="3"/>
      <c r="G999" s="3"/>
      <c r="H999" s="3"/>
      <c r="I999" s="3"/>
    </row>
    <row r="1000" spans="2:9" ht="13" x14ac:dyDescent="0.15">
      <c r="B1000" s="3"/>
      <c r="C1000" s="3"/>
      <c r="D1000" s="3"/>
      <c r="E1000" s="3"/>
      <c r="F1000" s="3"/>
      <c r="G1000" s="3"/>
      <c r="H1000" s="3"/>
      <c r="I1000" s="3"/>
    </row>
    <row r="1001" spans="2:9" ht="13" x14ac:dyDescent="0.15">
      <c r="B1001" s="3"/>
      <c r="C1001" s="3"/>
      <c r="D1001" s="3"/>
      <c r="E1001" s="3"/>
      <c r="F1001" s="3"/>
      <c r="G1001" s="3"/>
      <c r="H1001" s="3"/>
      <c r="I1001" s="3"/>
    </row>
    <row r="1002" spans="2:9" ht="13" x14ac:dyDescent="0.15">
      <c r="B1002" s="3"/>
      <c r="C1002" s="3"/>
      <c r="D1002" s="3"/>
      <c r="E1002" s="3"/>
      <c r="F1002" s="3"/>
      <c r="G1002" s="3"/>
      <c r="H1002" s="3"/>
      <c r="I1002" s="3"/>
    </row>
    <row r="1003" spans="2:9" ht="13" x14ac:dyDescent="0.15">
      <c r="B1003" s="3"/>
      <c r="C1003" s="3"/>
      <c r="D1003" s="3"/>
      <c r="E1003" s="3"/>
      <c r="F1003" s="3"/>
      <c r="G1003" s="3"/>
      <c r="H1003" s="3"/>
      <c r="I1003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1"/>
  <sheetViews>
    <sheetView zoomScale="131" zoomScaleNormal="168" workbookViewId="0">
      <selection activeCell="AC2" sqref="AC2"/>
    </sheetView>
  </sheetViews>
  <sheetFormatPr baseColWidth="10" defaultColWidth="14.5" defaultRowHeight="15.75" customHeight="1" x14ac:dyDescent="0.15"/>
  <cols>
    <col min="1" max="1" width="15.33203125" customWidth="1"/>
    <col min="2" max="2" width="23.5" customWidth="1"/>
    <col min="3" max="3" width="4.83203125" customWidth="1"/>
    <col min="4" max="4" width="5.83203125" customWidth="1"/>
    <col min="5" max="5" width="3.33203125" customWidth="1"/>
    <col min="6" max="6" width="21" customWidth="1"/>
    <col min="7" max="7" width="39.33203125" customWidth="1"/>
    <col min="8" max="8" width="8.1640625" customWidth="1"/>
    <col min="9" max="15" width="15.83203125" customWidth="1"/>
    <col min="17" max="17" width="5.83203125" customWidth="1"/>
    <col min="18" max="18" width="3.33203125" customWidth="1"/>
    <col min="19" max="19" width="34.83203125" customWidth="1"/>
    <col min="20" max="20" width="8.1640625" customWidth="1"/>
    <col min="21" max="25" width="14.5" customWidth="1"/>
  </cols>
  <sheetData>
    <row r="1" spans="1:30" ht="15.75" customHeight="1" x14ac:dyDescent="0.15">
      <c r="A1" s="1" t="s">
        <v>0</v>
      </c>
      <c r="B1" s="1" t="s">
        <v>58</v>
      </c>
      <c r="C1" s="1" t="s">
        <v>40</v>
      </c>
      <c r="D1" s="1" t="s">
        <v>41</v>
      </c>
      <c r="E1" s="1" t="s">
        <v>42</v>
      </c>
      <c r="F1" s="2" t="s">
        <v>43</v>
      </c>
      <c r="G1" s="7" t="s">
        <v>80</v>
      </c>
      <c r="H1" s="7" t="s">
        <v>18</v>
      </c>
      <c r="I1" s="7" t="s">
        <v>81</v>
      </c>
      <c r="J1" s="7" t="s">
        <v>82</v>
      </c>
      <c r="K1" s="7" t="s">
        <v>83</v>
      </c>
      <c r="L1" s="7" t="s">
        <v>84</v>
      </c>
      <c r="M1" s="2" t="s">
        <v>107</v>
      </c>
      <c r="N1" s="2" t="s">
        <v>216</v>
      </c>
      <c r="O1" s="2" t="s">
        <v>215</v>
      </c>
      <c r="P1" s="2" t="s">
        <v>267</v>
      </c>
      <c r="Q1" s="1" t="s">
        <v>41</v>
      </c>
      <c r="R1" s="1" t="s">
        <v>42</v>
      </c>
      <c r="S1" s="2" t="s">
        <v>45</v>
      </c>
      <c r="T1" s="7" t="s">
        <v>31</v>
      </c>
      <c r="U1" s="7" t="s">
        <v>81</v>
      </c>
      <c r="V1" s="7" t="s">
        <v>82</v>
      </c>
      <c r="W1" s="7" t="s">
        <v>83</v>
      </c>
      <c r="X1" s="7" t="s">
        <v>84</v>
      </c>
      <c r="Y1" s="2" t="s">
        <v>107</v>
      </c>
      <c r="Z1" s="2" t="s">
        <v>216</v>
      </c>
      <c r="AA1" s="2" t="s">
        <v>215</v>
      </c>
      <c r="AB1" s="2" t="s">
        <v>231</v>
      </c>
      <c r="AC1" s="2" t="s">
        <v>271</v>
      </c>
      <c r="AD1" s="2" t="s">
        <v>272</v>
      </c>
    </row>
    <row r="2" spans="1:30" ht="15.75" customHeight="1" x14ac:dyDescent="0.15">
      <c r="A2" s="1" t="s">
        <v>8</v>
      </c>
      <c r="B2" s="1" t="s">
        <v>14</v>
      </c>
      <c r="C2" s="5" t="s">
        <v>49</v>
      </c>
      <c r="D2" s="1">
        <v>0.99</v>
      </c>
      <c r="E2" s="1">
        <v>17</v>
      </c>
      <c r="F2" s="3" t="s">
        <v>62</v>
      </c>
      <c r="G2" s="3" t="s">
        <v>243</v>
      </c>
      <c r="H2">
        <v>150</v>
      </c>
      <c r="I2" s="14">
        <f>3.4543*H2+225.536</f>
        <v>743.68100000000004</v>
      </c>
      <c r="J2" s="14">
        <f>H2*3.4252+184.08</f>
        <v>697.86</v>
      </c>
      <c r="K2" s="14">
        <f>5.0661*(H2^0.9562)</f>
        <v>610.17192336466803</v>
      </c>
      <c r="L2" s="14">
        <f>(H2*12.4148)^0.8559</f>
        <v>629.24463504931953</v>
      </c>
      <c r="M2" s="14">
        <f>H2/0.27</f>
        <v>555.55555555555554</v>
      </c>
      <c r="N2" s="14">
        <f>(H2*3.5522)+147.41</f>
        <v>680.24</v>
      </c>
      <c r="O2" s="14"/>
      <c r="P2" s="3">
        <f>4.3444*H2^0.9778</f>
        <v>583.05810679797219</v>
      </c>
      <c r="Q2" s="5">
        <v>0.99</v>
      </c>
      <c r="R2" s="1">
        <v>17</v>
      </c>
      <c r="S2" s="3" t="s">
        <v>238</v>
      </c>
      <c r="T2">
        <v>150</v>
      </c>
      <c r="U2" s="13">
        <f>T2*3.705+225.536</f>
        <v>781.28600000000006</v>
      </c>
      <c r="V2" s="13">
        <f>T2*3.7666+166.15</f>
        <v>731.14</v>
      </c>
      <c r="W2" s="13">
        <f>5.0242*T2^0.9704</f>
        <v>649.74938479109733</v>
      </c>
      <c r="X2" s="13">
        <f>(T2*13.6426)^0.8559</f>
        <v>682.14229144628302</v>
      </c>
      <c r="Y2" s="13">
        <f>T2/0.24</f>
        <v>625</v>
      </c>
      <c r="Z2" s="13">
        <f>3.8297*T2+126.97</f>
        <v>701.42499999999995</v>
      </c>
      <c r="AA2" s="13"/>
      <c r="AB2">
        <f>4.5397*T2^0.9812</f>
        <v>619.73767343559336</v>
      </c>
      <c r="AC2">
        <f>2.71828^(1.02*LN(T2)+1.29)</f>
        <v>602.35302544149295</v>
      </c>
      <c r="AD2">
        <f>2.71828^(1.05*LN(T2)+1.08)</f>
        <v>567.45576171831999</v>
      </c>
    </row>
    <row r="3" spans="1:30" ht="15.75" customHeight="1" x14ac:dyDescent="0.15">
      <c r="A3" s="1" t="s">
        <v>26</v>
      </c>
      <c r="B3" s="4" t="s">
        <v>11</v>
      </c>
      <c r="C3" s="5" t="s">
        <v>49</v>
      </c>
      <c r="D3" s="1">
        <v>0.96799999999999997</v>
      </c>
      <c r="E3" s="1">
        <v>9</v>
      </c>
      <c r="F3" s="3" t="s">
        <v>63</v>
      </c>
      <c r="G3" s="4" t="s">
        <v>78</v>
      </c>
      <c r="H3">
        <v>200</v>
      </c>
      <c r="I3" s="14">
        <f t="shared" ref="I3:I35" si="0">3.4543*H3+225.536</f>
        <v>916.39599999999996</v>
      </c>
      <c r="J3" s="14">
        <f t="shared" ref="J3:J35" si="1">H3*3.4252+184.08</f>
        <v>869.12</v>
      </c>
      <c r="K3" s="14">
        <f t="shared" ref="K3:K35" si="2">5.0661*(H3^0.9562)</f>
        <v>803.37560496236631</v>
      </c>
      <c r="L3" s="14">
        <f>(H3*12.4148)^0.8559</f>
        <v>804.92346136284164</v>
      </c>
      <c r="M3" s="14">
        <f t="shared" ref="M3:M35" si="3">H3/0.27</f>
        <v>740.74074074074065</v>
      </c>
      <c r="N3" s="14">
        <f t="shared" ref="N3:N35" si="4">(H3*3.5522)+147.41</f>
        <v>857.85</v>
      </c>
      <c r="O3" s="14"/>
      <c r="P3" s="3">
        <f t="shared" ref="P3:P34" si="5">4.3444*H3^0.9778</f>
        <v>772.46166306059854</v>
      </c>
      <c r="Q3" s="1">
        <v>0.96099999999999997</v>
      </c>
      <c r="R3" s="1">
        <v>9</v>
      </c>
      <c r="S3" s="1" t="s">
        <v>210</v>
      </c>
      <c r="T3">
        <v>200</v>
      </c>
      <c r="U3" s="13">
        <f t="shared" ref="U3:U31" si="6">T3*3.705+225.536</f>
        <v>966.53600000000006</v>
      </c>
      <c r="V3" s="13">
        <f t="shared" ref="V3:V31" si="7">T3*3.7666+166.15</f>
        <v>919.46999999999991</v>
      </c>
      <c r="W3" s="13">
        <f t="shared" ref="W3:W31" si="8">5.0242*T3^0.9704</f>
        <v>858.98667512758686</v>
      </c>
      <c r="X3" s="13">
        <f>(T3*13.6426)^0.8559</f>
        <v>872.58961584930682</v>
      </c>
      <c r="Y3" s="13">
        <f t="shared" ref="Y3:Y31" si="9">T3/0.24</f>
        <v>833.33333333333337</v>
      </c>
      <c r="Z3" s="13">
        <f t="shared" ref="Z3:Z31" si="10">3.8297*T3+126.97</f>
        <v>892.91</v>
      </c>
      <c r="AA3" s="13"/>
      <c r="AB3">
        <f t="shared" ref="AB3:AB31" si="11">4.5397*T3^0.9812</f>
        <v>821.85989018528846</v>
      </c>
      <c r="AC3">
        <f t="shared" ref="AC3:AC31" si="12">2.71828^(1.02*LN(T3)+1.29)</f>
        <v>807.77149148131446</v>
      </c>
      <c r="AD3">
        <f t="shared" ref="AD3:AD31" si="13">2.71828^(1.05*LN(T3)+1.08)</f>
        <v>767.56929826664998</v>
      </c>
    </row>
    <row r="4" spans="1:30" ht="15.75" customHeight="1" x14ac:dyDescent="0.15">
      <c r="A4" s="1" t="s">
        <v>26</v>
      </c>
      <c r="B4" s="4" t="s">
        <v>24</v>
      </c>
      <c r="C4" s="5" t="s">
        <v>49</v>
      </c>
      <c r="D4" s="1">
        <v>0.97</v>
      </c>
      <c r="E4" s="1">
        <v>9</v>
      </c>
      <c r="F4" s="3" t="s">
        <v>63</v>
      </c>
      <c r="G4" s="5" t="s">
        <v>79</v>
      </c>
      <c r="H4">
        <v>250</v>
      </c>
      <c r="I4" s="14">
        <f t="shared" si="0"/>
        <v>1089.1109999999999</v>
      </c>
      <c r="J4" s="14">
        <f t="shared" si="1"/>
        <v>1040.3799999999999</v>
      </c>
      <c r="K4" s="14">
        <f t="shared" si="2"/>
        <v>994.45238665769227</v>
      </c>
      <c r="L4" s="14">
        <f>(H4*12.4148)^0.8559</f>
        <v>974.31607119587704</v>
      </c>
      <c r="M4" s="14">
        <f t="shared" si="3"/>
        <v>925.92592592592587</v>
      </c>
      <c r="N4" s="14">
        <f t="shared" si="4"/>
        <v>1035.46</v>
      </c>
      <c r="O4" s="14">
        <f t="shared" ref="O4:O35" si="14">2504.3*LN(H4)-13254</f>
        <v>573.39457660242442</v>
      </c>
      <c r="P4" s="3">
        <f t="shared" si="5"/>
        <v>960.80564389381846</v>
      </c>
      <c r="Q4" s="1">
        <v>0.96299999999999997</v>
      </c>
      <c r="R4" s="1">
        <v>9</v>
      </c>
      <c r="S4" s="4" t="s">
        <v>211</v>
      </c>
      <c r="T4">
        <v>250</v>
      </c>
      <c r="U4" s="13">
        <f t="shared" si="6"/>
        <v>1151.7860000000001</v>
      </c>
      <c r="V4" s="13">
        <f t="shared" si="7"/>
        <v>1107.8</v>
      </c>
      <c r="W4" s="13">
        <f t="shared" si="8"/>
        <v>1066.6646526574286</v>
      </c>
      <c r="X4" s="13">
        <f>(T4*13.6426)^0.8559</f>
        <v>1056.2222709239359</v>
      </c>
      <c r="Y4" s="13">
        <f t="shared" si="9"/>
        <v>1041.6666666666667</v>
      </c>
      <c r="Z4" s="13">
        <f t="shared" si="10"/>
        <v>1084.395</v>
      </c>
      <c r="AA4" s="13">
        <f>2511.7*LN(T4)-13134</f>
        <v>734.25338739460312</v>
      </c>
      <c r="AB4">
        <f t="shared" si="11"/>
        <v>1023.0241607111619</v>
      </c>
      <c r="AC4">
        <f t="shared" si="12"/>
        <v>1014.2305043800851</v>
      </c>
      <c r="AD4">
        <f t="shared" si="13"/>
        <v>970.22629447642078</v>
      </c>
    </row>
    <row r="5" spans="1:30" ht="15.75" customHeight="1" x14ac:dyDescent="0.15">
      <c r="A5" s="1" t="s">
        <v>29</v>
      </c>
      <c r="B5" s="1" t="s">
        <v>35</v>
      </c>
      <c r="C5" s="1" t="s">
        <v>49</v>
      </c>
      <c r="D5" s="1">
        <v>0.96</v>
      </c>
      <c r="E5" s="1">
        <v>81</v>
      </c>
      <c r="F5" s="3" t="s">
        <v>64</v>
      </c>
      <c r="G5" s="3" t="s">
        <v>65</v>
      </c>
      <c r="H5">
        <v>300</v>
      </c>
      <c r="I5" s="14">
        <f t="shared" si="0"/>
        <v>1261.826</v>
      </c>
      <c r="J5" s="14">
        <f t="shared" si="1"/>
        <v>1211.6399999999999</v>
      </c>
      <c r="K5" s="14">
        <f t="shared" si="2"/>
        <v>1183.8511540901291</v>
      </c>
      <c r="L5" s="14">
        <f>(H5*12.4148)^0.8559</f>
        <v>1138.8619802750793</v>
      </c>
      <c r="M5" s="14">
        <f t="shared" si="3"/>
        <v>1111.1111111111111</v>
      </c>
      <c r="N5" s="14">
        <f t="shared" si="4"/>
        <v>1213.0700000000002</v>
      </c>
      <c r="O5" s="14">
        <f t="shared" si="14"/>
        <v>1029.9824512815248</v>
      </c>
      <c r="P5" s="3">
        <f t="shared" si="5"/>
        <v>1148.3095267502049</v>
      </c>
      <c r="Q5" s="5">
        <v>0.96</v>
      </c>
      <c r="R5" s="1">
        <v>81</v>
      </c>
      <c r="S5" s="3" t="s">
        <v>66</v>
      </c>
      <c r="T5">
        <v>300</v>
      </c>
      <c r="U5" s="13">
        <f t="shared" si="6"/>
        <v>1337.0360000000001</v>
      </c>
      <c r="V5" s="13">
        <f t="shared" si="7"/>
        <v>1296.1300000000001</v>
      </c>
      <c r="W5" s="13">
        <f t="shared" si="8"/>
        <v>1273.1084032891738</v>
      </c>
      <c r="X5" s="13">
        <f>(T5*13.6426)^0.8559</f>
        <v>1234.6007857579987</v>
      </c>
      <c r="Y5" s="13">
        <f t="shared" si="9"/>
        <v>1250</v>
      </c>
      <c r="Z5" s="13">
        <f t="shared" si="10"/>
        <v>1275.8799999999999</v>
      </c>
      <c r="AA5" s="13">
        <f>2511.7*LN(T5)-13134</f>
        <v>1192.1904415939789</v>
      </c>
      <c r="AB5">
        <f t="shared" si="11"/>
        <v>1223.428319467366</v>
      </c>
      <c r="AC5">
        <f t="shared" si="12"/>
        <v>1221.5225397308125</v>
      </c>
      <c r="AD5">
        <f t="shared" si="13"/>
        <v>1174.9335166770934</v>
      </c>
    </row>
    <row r="6" spans="1:30" ht="15.75" customHeight="1" x14ac:dyDescent="0.15">
      <c r="A6" s="1" t="s">
        <v>29</v>
      </c>
      <c r="B6" s="1" t="s">
        <v>11</v>
      </c>
      <c r="C6" s="1" t="s">
        <v>49</v>
      </c>
      <c r="D6" s="1" t="s">
        <v>22</v>
      </c>
      <c r="E6" s="1">
        <v>81</v>
      </c>
      <c r="F6" s="3" t="s">
        <v>64</v>
      </c>
      <c r="G6" s="3" t="s">
        <v>106</v>
      </c>
      <c r="H6">
        <v>350</v>
      </c>
      <c r="I6" s="14">
        <f t="shared" si="0"/>
        <v>1434.5409999999999</v>
      </c>
      <c r="J6" s="14">
        <f t="shared" si="1"/>
        <v>1382.8999999999999</v>
      </c>
      <c r="K6" s="14">
        <f t="shared" si="2"/>
        <v>1371.8657767474765</v>
      </c>
      <c r="L6" s="14">
        <f t="shared" ref="L6:L29" si="15">(H6*12.4148)^0.8559</f>
        <v>1299.4837468110732</v>
      </c>
      <c r="M6" s="14">
        <f t="shared" si="3"/>
        <v>1296.2962962962963</v>
      </c>
      <c r="N6" s="14">
        <f t="shared" si="4"/>
        <v>1390.68</v>
      </c>
      <c r="O6" s="14">
        <f t="shared" si="14"/>
        <v>1416.021998772927</v>
      </c>
      <c r="P6" s="3">
        <f t="shared" si="5"/>
        <v>1335.1176547870407</v>
      </c>
      <c r="Q6" s="4" t="s">
        <v>22</v>
      </c>
      <c r="R6" s="1">
        <v>81</v>
      </c>
      <c r="S6" s="3" t="s">
        <v>214</v>
      </c>
      <c r="T6">
        <v>350</v>
      </c>
      <c r="U6" s="13">
        <f t="shared" si="6"/>
        <v>1522.2860000000001</v>
      </c>
      <c r="V6" s="13">
        <f t="shared" si="7"/>
        <v>1484.46</v>
      </c>
      <c r="W6" s="13">
        <f t="shared" si="8"/>
        <v>1478.5313905278208</v>
      </c>
      <c r="X6" s="13">
        <f t="shared" ref="X6:X31" si="16">(T6*13.6426)^0.8559</f>
        <v>1408.7252737203371</v>
      </c>
      <c r="Y6" s="13">
        <f t="shared" si="9"/>
        <v>1458.3333333333335</v>
      </c>
      <c r="Z6" s="13">
        <f t="shared" si="10"/>
        <v>1467.365</v>
      </c>
      <c r="AA6" s="13">
        <f t="shared" ref="AA6:AA31" si="17">2511.7*LN(T6)-13134</f>
        <v>1579.3707041161033</v>
      </c>
      <c r="AB6">
        <f t="shared" si="11"/>
        <v>1423.202569450893</v>
      </c>
      <c r="AC6">
        <f t="shared" si="12"/>
        <v>1429.5098906403693</v>
      </c>
      <c r="AD6">
        <f t="shared" si="13"/>
        <v>1381.3615861698136</v>
      </c>
    </row>
    <row r="7" spans="1:30" ht="15.75" customHeight="1" x14ac:dyDescent="0.15">
      <c r="A7" s="1" t="s">
        <v>212</v>
      </c>
      <c r="B7" s="1" t="s">
        <v>11</v>
      </c>
      <c r="C7" s="1" t="s">
        <v>49</v>
      </c>
      <c r="D7" s="1">
        <v>0.97350000000000003</v>
      </c>
      <c r="E7" s="1">
        <v>28</v>
      </c>
      <c r="F7" s="3" t="s">
        <v>263</v>
      </c>
      <c r="G7" s="3" t="s">
        <v>264</v>
      </c>
      <c r="H7">
        <v>400</v>
      </c>
      <c r="I7" s="14">
        <f t="shared" si="0"/>
        <v>1607.2560000000001</v>
      </c>
      <c r="J7" s="14">
        <f t="shared" si="1"/>
        <v>1554.1599999999999</v>
      </c>
      <c r="K7" s="14">
        <f t="shared" si="2"/>
        <v>1558.7035402383528</v>
      </c>
      <c r="L7" s="14">
        <f t="shared" si="15"/>
        <v>1456.820886690133</v>
      </c>
      <c r="M7" s="14">
        <f t="shared" si="3"/>
        <v>1481.4814814814813</v>
      </c>
      <c r="N7" s="14">
        <f t="shared" si="4"/>
        <v>1568.2900000000002</v>
      </c>
      <c r="O7" s="14">
        <f t="shared" si="14"/>
        <v>1750.42466532252</v>
      </c>
      <c r="P7" s="3">
        <f t="shared" si="5"/>
        <v>1521.3322246956491</v>
      </c>
      <c r="Q7" s="1">
        <v>0.97760000000000002</v>
      </c>
      <c r="R7" s="1">
        <v>28</v>
      </c>
      <c r="S7" s="3" t="s">
        <v>268</v>
      </c>
      <c r="T7">
        <v>400</v>
      </c>
      <c r="U7" s="13">
        <f t="shared" si="6"/>
        <v>1707.5360000000001</v>
      </c>
      <c r="V7" s="13">
        <f t="shared" si="7"/>
        <v>1672.79</v>
      </c>
      <c r="W7" s="13">
        <f t="shared" si="8"/>
        <v>1683.0845553935524</v>
      </c>
      <c r="X7" s="13">
        <f t="shared" si="16"/>
        <v>1579.2890118097259</v>
      </c>
      <c r="Y7" s="13">
        <f t="shared" si="9"/>
        <v>1666.6666666666667</v>
      </c>
      <c r="Z7" s="13">
        <f t="shared" si="10"/>
        <v>1658.85</v>
      </c>
      <c r="AA7" s="13">
        <f t="shared" si="17"/>
        <v>1914.761502971116</v>
      </c>
      <c r="AB7">
        <f t="shared" si="11"/>
        <v>1622.4391502826986</v>
      </c>
      <c r="AC7">
        <f t="shared" si="12"/>
        <v>1638.09434355077</v>
      </c>
      <c r="AD7">
        <f t="shared" si="13"/>
        <v>1589.2743641811321</v>
      </c>
    </row>
    <row r="8" spans="1:30" ht="15.75" customHeight="1" x14ac:dyDescent="0.15">
      <c r="A8" s="1" t="s">
        <v>212</v>
      </c>
      <c r="B8" s="1" t="s">
        <v>213</v>
      </c>
      <c r="C8" s="1" t="s">
        <v>49</v>
      </c>
      <c r="D8" s="1">
        <v>0.95799999999999996</v>
      </c>
      <c r="E8" s="1">
        <v>28</v>
      </c>
      <c r="F8" s="3" t="s">
        <v>263</v>
      </c>
      <c r="G8" s="3" t="s">
        <v>265</v>
      </c>
      <c r="H8">
        <v>450</v>
      </c>
      <c r="I8" s="14">
        <f t="shared" si="0"/>
        <v>1779.971</v>
      </c>
      <c r="J8" s="14">
        <f t="shared" si="1"/>
        <v>1725.4199999999998</v>
      </c>
      <c r="K8" s="14">
        <f t="shared" si="2"/>
        <v>1744.5184374327416</v>
      </c>
      <c r="L8" s="14">
        <f t="shared" si="15"/>
        <v>1611.3415403746237</v>
      </c>
      <c r="M8" s="14">
        <f t="shared" si="3"/>
        <v>1666.6666666666665</v>
      </c>
      <c r="N8" s="14">
        <f t="shared" si="4"/>
        <v>1745.9</v>
      </c>
      <c r="O8" s="14">
        <f t="shared" si="14"/>
        <v>2045.3887215168015</v>
      </c>
      <c r="P8" s="3">
        <f t="shared" si="5"/>
        <v>1707.0294000102824</v>
      </c>
      <c r="Q8" s="1">
        <v>0.95899999999999996</v>
      </c>
      <c r="R8" s="1">
        <v>28</v>
      </c>
      <c r="S8" s="3" t="s">
        <v>269</v>
      </c>
      <c r="T8">
        <v>450</v>
      </c>
      <c r="U8" s="13">
        <f t="shared" si="6"/>
        <v>1892.7860000000001</v>
      </c>
      <c r="V8" s="13">
        <f t="shared" si="7"/>
        <v>1861.1200000000001</v>
      </c>
      <c r="W8" s="13">
        <f t="shared" si="8"/>
        <v>1886.8802665475221</v>
      </c>
      <c r="X8" s="13">
        <f t="shared" si="16"/>
        <v>1746.7994948698736</v>
      </c>
      <c r="Y8" s="13">
        <f t="shared" si="9"/>
        <v>1875</v>
      </c>
      <c r="Z8" s="13">
        <f t="shared" si="10"/>
        <v>1850.335</v>
      </c>
      <c r="AA8" s="13">
        <f t="shared" si="17"/>
        <v>2210.5971536292564</v>
      </c>
      <c r="AB8">
        <f t="shared" si="11"/>
        <v>1821.2068392062481</v>
      </c>
      <c r="AC8">
        <f t="shared" si="12"/>
        <v>1847.2022481681415</v>
      </c>
      <c r="AD8">
        <f t="shared" si="13"/>
        <v>1798.4939883976861</v>
      </c>
    </row>
    <row r="9" spans="1:30" ht="15.75" customHeight="1" x14ac:dyDescent="0.15">
      <c r="A9" s="1" t="s">
        <v>212</v>
      </c>
      <c r="B9" s="1" t="s">
        <v>262</v>
      </c>
      <c r="C9" s="1" t="s">
        <v>49</v>
      </c>
      <c r="D9" s="1">
        <v>0.97419999999999995</v>
      </c>
      <c r="E9" s="1">
        <v>28</v>
      </c>
      <c r="F9" s="3" t="s">
        <v>263</v>
      </c>
      <c r="G9" s="3" t="s">
        <v>266</v>
      </c>
      <c r="H9">
        <v>500</v>
      </c>
      <c r="I9" s="14">
        <f t="shared" si="0"/>
        <v>1952.6859999999999</v>
      </c>
      <c r="J9" s="14">
        <f t="shared" si="1"/>
        <v>1896.6799999999998</v>
      </c>
      <c r="K9" s="14">
        <f t="shared" si="2"/>
        <v>1929.4293305737538</v>
      </c>
      <c r="L9" s="14">
        <f t="shared" si="15"/>
        <v>1763.4024486660924</v>
      </c>
      <c r="M9" s="14">
        <f t="shared" si="3"/>
        <v>1851.8518518518517</v>
      </c>
      <c r="N9" s="14">
        <f t="shared" si="4"/>
        <v>1923.51</v>
      </c>
      <c r="O9" s="14">
        <f t="shared" si="14"/>
        <v>2309.2430608786945</v>
      </c>
      <c r="P9" s="3">
        <f t="shared" si="5"/>
        <v>1892.2681313835633</v>
      </c>
      <c r="Q9" s="1">
        <v>0.97809999999999997</v>
      </c>
      <c r="R9" s="1">
        <v>28</v>
      </c>
      <c r="S9" s="3" t="s">
        <v>270</v>
      </c>
      <c r="T9">
        <v>500</v>
      </c>
      <c r="U9" s="13">
        <f t="shared" si="6"/>
        <v>2078.0360000000001</v>
      </c>
      <c r="V9" s="13">
        <f t="shared" si="7"/>
        <v>2049.4499999999998</v>
      </c>
      <c r="W9" s="13">
        <f t="shared" si="8"/>
        <v>2090.005415282244</v>
      </c>
      <c r="X9" s="13">
        <f t="shared" si="16"/>
        <v>1911.6434532346764</v>
      </c>
      <c r="Y9" s="13">
        <f t="shared" si="9"/>
        <v>2083.3333333333335</v>
      </c>
      <c r="Z9" s="13">
        <f t="shared" si="10"/>
        <v>2041.82</v>
      </c>
      <c r="AA9" s="13">
        <f t="shared" si="17"/>
        <v>2475.2311608070177</v>
      </c>
      <c r="AB9">
        <f t="shared" si="11"/>
        <v>2019.5588929990111</v>
      </c>
      <c r="AC9">
        <f t="shared" si="12"/>
        <v>2056.7762910707925</v>
      </c>
      <c r="AD9">
        <f t="shared" si="13"/>
        <v>2008.8815182523899</v>
      </c>
    </row>
    <row r="10" spans="1:30" ht="15.75" customHeight="1" x14ac:dyDescent="0.15">
      <c r="F10" s="3"/>
      <c r="G10" s="3"/>
      <c r="H10">
        <v>550</v>
      </c>
      <c r="I10" s="14">
        <f t="shared" si="0"/>
        <v>2125.4009999999998</v>
      </c>
      <c r="J10" s="14">
        <f t="shared" si="1"/>
        <v>2067.94</v>
      </c>
      <c r="K10" s="14">
        <f t="shared" si="2"/>
        <v>2113.5307061177996</v>
      </c>
      <c r="L10" s="14">
        <f t="shared" si="15"/>
        <v>1913.2839958109416</v>
      </c>
      <c r="M10" s="14">
        <f t="shared" si="3"/>
        <v>2037.037037037037</v>
      </c>
      <c r="N10" s="14">
        <f t="shared" si="4"/>
        <v>2101.12</v>
      </c>
      <c r="O10" s="14">
        <f t="shared" si="14"/>
        <v>2547.9283441626649</v>
      </c>
      <c r="P10" s="3">
        <f t="shared" si="5"/>
        <v>2077.0953946414725</v>
      </c>
      <c r="S10" s="3"/>
      <c r="T10">
        <v>550</v>
      </c>
      <c r="U10" s="13">
        <f t="shared" si="6"/>
        <v>2263.2860000000001</v>
      </c>
      <c r="V10" s="13">
        <f t="shared" si="7"/>
        <v>2237.7800000000002</v>
      </c>
      <c r="W10" s="13">
        <f t="shared" si="8"/>
        <v>2292.5291845157362</v>
      </c>
      <c r="X10" s="13">
        <f t="shared" si="16"/>
        <v>2074.1248417440706</v>
      </c>
      <c r="Y10" s="13">
        <f t="shared" si="9"/>
        <v>2291.666666666667</v>
      </c>
      <c r="Z10" s="13">
        <f t="shared" si="10"/>
        <v>2233.3049999999998</v>
      </c>
      <c r="AA10" s="13">
        <f t="shared" si="17"/>
        <v>2714.62173942154</v>
      </c>
      <c r="AB10">
        <f t="shared" si="11"/>
        <v>2217.5377665350329</v>
      </c>
      <c r="AC10">
        <f t="shared" si="12"/>
        <v>2266.7705827989184</v>
      </c>
      <c r="AD10">
        <f t="shared" si="13"/>
        <v>2220.3253297676406</v>
      </c>
    </row>
    <row r="11" spans="1:30" ht="15.75" customHeight="1" x14ac:dyDescent="0.15">
      <c r="F11" s="3"/>
      <c r="G11" s="3"/>
      <c r="H11">
        <v>600</v>
      </c>
      <c r="I11" s="14">
        <f t="shared" si="0"/>
        <v>2298.116</v>
      </c>
      <c r="J11" s="14">
        <f t="shared" si="1"/>
        <v>2239.1999999999998</v>
      </c>
      <c r="K11" s="14">
        <f t="shared" si="2"/>
        <v>2296.8994497685612</v>
      </c>
      <c r="L11" s="14">
        <f t="shared" si="15"/>
        <v>2061.2120276788983</v>
      </c>
      <c r="M11" s="14">
        <f t="shared" si="3"/>
        <v>2222.2222222222222</v>
      </c>
      <c r="N11" s="14">
        <f t="shared" si="4"/>
        <v>2278.73</v>
      </c>
      <c r="O11" s="14">
        <f t="shared" si="14"/>
        <v>2765.8309355577967</v>
      </c>
      <c r="P11" s="3">
        <f t="shared" si="5"/>
        <v>2261.5494988429609</v>
      </c>
      <c r="S11" s="3"/>
      <c r="T11">
        <v>600</v>
      </c>
      <c r="U11" s="13">
        <f t="shared" si="6"/>
        <v>2448.5360000000001</v>
      </c>
      <c r="V11" s="13">
        <f t="shared" si="7"/>
        <v>2426.11</v>
      </c>
      <c r="W11" s="13">
        <f t="shared" si="8"/>
        <v>2494.5079510104042</v>
      </c>
      <c r="X11" s="13">
        <f t="shared" si="16"/>
        <v>2234.4884920748182</v>
      </c>
      <c r="Y11" s="13">
        <f t="shared" si="9"/>
        <v>2500</v>
      </c>
      <c r="Z11" s="13">
        <f t="shared" si="10"/>
        <v>2424.7899999999995</v>
      </c>
      <c r="AA11" s="13">
        <f t="shared" si="17"/>
        <v>2933.1682150063934</v>
      </c>
      <c r="AB11">
        <f t="shared" si="11"/>
        <v>2415.17809394606</v>
      </c>
      <c r="AC11">
        <f t="shared" si="12"/>
        <v>2477.1475398115149</v>
      </c>
      <c r="AD11">
        <f t="shared" si="13"/>
        <v>2432.733724354096</v>
      </c>
    </row>
    <row r="12" spans="1:30" ht="15.75" customHeight="1" x14ac:dyDescent="0.15">
      <c r="F12" s="3"/>
      <c r="G12" s="3"/>
      <c r="H12">
        <v>650</v>
      </c>
      <c r="I12" s="14">
        <f t="shared" si="0"/>
        <v>2470.8310000000001</v>
      </c>
      <c r="J12" s="14">
        <f t="shared" si="1"/>
        <v>2410.4599999999996</v>
      </c>
      <c r="K12" s="14">
        <f t="shared" si="2"/>
        <v>2479.599326519442</v>
      </c>
      <c r="L12" s="14">
        <f t="shared" si="15"/>
        <v>2207.3721292696659</v>
      </c>
      <c r="M12" s="14">
        <f t="shared" si="3"/>
        <v>2407.4074074074074</v>
      </c>
      <c r="N12" s="14">
        <f t="shared" si="4"/>
        <v>2456.3399999999997</v>
      </c>
      <c r="O12" s="14">
        <f t="shared" si="14"/>
        <v>2966.2818883846339</v>
      </c>
      <c r="P12" s="3">
        <f t="shared" si="5"/>
        <v>2445.6622786833291</v>
      </c>
      <c r="S12" s="3"/>
      <c r="T12">
        <v>650</v>
      </c>
      <c r="U12" s="13">
        <f t="shared" si="6"/>
        <v>2633.7860000000001</v>
      </c>
      <c r="V12" s="13">
        <f t="shared" si="7"/>
        <v>2614.44</v>
      </c>
      <c r="W12" s="13">
        <f t="shared" si="8"/>
        <v>2695.9885317976332</v>
      </c>
      <c r="X12" s="13">
        <f t="shared" si="16"/>
        <v>2392.9355904904201</v>
      </c>
      <c r="Y12" s="13">
        <f t="shared" si="9"/>
        <v>2708.3333333333335</v>
      </c>
      <c r="Z12" s="13">
        <f t="shared" si="10"/>
        <v>2616.2749999999996</v>
      </c>
      <c r="AA12" s="13">
        <f t="shared" si="17"/>
        <v>3134.2114838700145</v>
      </c>
      <c r="AB12">
        <f t="shared" si="11"/>
        <v>2612.5086650735389</v>
      </c>
      <c r="AC12">
        <f t="shared" si="12"/>
        <v>2687.8758089209209</v>
      </c>
      <c r="AD12">
        <f t="shared" si="13"/>
        <v>2646.029993383353</v>
      </c>
    </row>
    <row r="13" spans="1:30" ht="15.75" customHeight="1" x14ac:dyDescent="0.15">
      <c r="F13" s="3"/>
      <c r="G13" s="3"/>
      <c r="H13">
        <v>700</v>
      </c>
      <c r="I13" s="14">
        <f t="shared" si="0"/>
        <v>2643.5459999999998</v>
      </c>
      <c r="J13" s="14">
        <f t="shared" si="1"/>
        <v>2581.7199999999998</v>
      </c>
      <c r="K13" s="14">
        <f t="shared" si="2"/>
        <v>2661.6840612782839</v>
      </c>
      <c r="L13" s="14">
        <f t="shared" si="15"/>
        <v>2351.9193502739113</v>
      </c>
      <c r="M13" s="14">
        <f t="shared" si="3"/>
        <v>2592.5925925925926</v>
      </c>
      <c r="N13" s="14">
        <f t="shared" si="4"/>
        <v>2633.95</v>
      </c>
      <c r="O13" s="14">
        <f t="shared" si="14"/>
        <v>3151.8704830491988</v>
      </c>
      <c r="P13" s="3">
        <f t="shared" si="5"/>
        <v>2629.4606051255446</v>
      </c>
      <c r="S13" s="3"/>
      <c r="T13">
        <v>700</v>
      </c>
      <c r="U13" s="13">
        <f t="shared" si="6"/>
        <v>2819.0360000000001</v>
      </c>
      <c r="V13" s="13">
        <f t="shared" si="7"/>
        <v>2802.77</v>
      </c>
      <c r="W13" s="13">
        <f t="shared" si="8"/>
        <v>2897.0104195065746</v>
      </c>
      <c r="X13" s="13">
        <f t="shared" si="16"/>
        <v>2549.6342209845793</v>
      </c>
      <c r="Y13" s="13">
        <f t="shared" si="9"/>
        <v>2916.666666666667</v>
      </c>
      <c r="Z13" s="13">
        <f t="shared" si="10"/>
        <v>2807.7599999999998</v>
      </c>
      <c r="AA13" s="13">
        <f t="shared" si="17"/>
        <v>3320.3484775285178</v>
      </c>
      <c r="AB13">
        <f t="shared" si="11"/>
        <v>2809.5537877380557</v>
      </c>
      <c r="AC13">
        <f t="shared" si="12"/>
        <v>2898.9288314862924</v>
      </c>
      <c r="AD13">
        <f t="shared" si="13"/>
        <v>2860.1489943929623</v>
      </c>
    </row>
    <row r="14" spans="1:30" ht="15.75" customHeight="1" x14ac:dyDescent="0.15">
      <c r="F14" s="3"/>
      <c r="G14" s="3"/>
      <c r="H14">
        <v>750</v>
      </c>
      <c r="I14" s="14">
        <f t="shared" si="0"/>
        <v>2816.261</v>
      </c>
      <c r="J14" s="14">
        <f t="shared" si="1"/>
        <v>2752.9799999999996</v>
      </c>
      <c r="K14" s="14">
        <f t="shared" si="2"/>
        <v>2843.1995266299928</v>
      </c>
      <c r="L14" s="14">
        <f t="shared" si="15"/>
        <v>2494.9850527521239</v>
      </c>
      <c r="M14" s="14">
        <f t="shared" si="3"/>
        <v>2777.7777777777774</v>
      </c>
      <c r="N14" s="14">
        <f t="shared" si="4"/>
        <v>2811.56</v>
      </c>
      <c r="O14" s="14">
        <f t="shared" si="14"/>
        <v>3324.6493311139711</v>
      </c>
      <c r="P14" s="3">
        <f t="shared" si="5"/>
        <v>2812.9674601897909</v>
      </c>
      <c r="S14" s="3"/>
      <c r="T14">
        <v>750</v>
      </c>
      <c r="U14" s="13">
        <f t="shared" si="6"/>
        <v>3004.2860000000001</v>
      </c>
      <c r="V14" s="13">
        <f t="shared" si="7"/>
        <v>2991.1</v>
      </c>
      <c r="W14" s="13">
        <f t="shared" si="8"/>
        <v>3097.6073717563663</v>
      </c>
      <c r="X14" s="13">
        <f t="shared" si="16"/>
        <v>2704.7267886124482</v>
      </c>
      <c r="Y14" s="13">
        <f t="shared" si="9"/>
        <v>3125</v>
      </c>
      <c r="Z14" s="13">
        <f t="shared" si="10"/>
        <v>2999.2449999999999</v>
      </c>
      <c r="AA14" s="13">
        <f t="shared" si="17"/>
        <v>3493.6378728422933</v>
      </c>
      <c r="AB14">
        <f t="shared" si="11"/>
        <v>3006.3342572541346</v>
      </c>
      <c r="AC14">
        <f t="shared" si="12"/>
        <v>3110.2838181620014</v>
      </c>
      <c r="AD14">
        <f t="shared" si="13"/>
        <v>3075.0347000043025</v>
      </c>
    </row>
    <row r="15" spans="1:30" ht="15.75" customHeight="1" x14ac:dyDescent="0.15">
      <c r="F15" s="3"/>
      <c r="G15" s="3"/>
      <c r="H15">
        <v>800</v>
      </c>
      <c r="I15" s="14">
        <f t="shared" si="0"/>
        <v>2988.9760000000001</v>
      </c>
      <c r="J15" s="14">
        <f t="shared" si="1"/>
        <v>2924.24</v>
      </c>
      <c r="K15" s="14">
        <f t="shared" si="2"/>
        <v>3024.1853391420614</v>
      </c>
      <c r="L15" s="14">
        <f t="shared" si="15"/>
        <v>2636.6818682402941</v>
      </c>
      <c r="M15" s="14">
        <f t="shared" si="3"/>
        <v>2962.9629629629626</v>
      </c>
      <c r="N15" s="14">
        <f t="shared" si="4"/>
        <v>2989.17</v>
      </c>
      <c r="O15" s="14">
        <f t="shared" si="14"/>
        <v>3486.27314959879</v>
      </c>
      <c r="P15" s="3">
        <f t="shared" si="5"/>
        <v>2996.202722510835</v>
      </c>
      <c r="S15" s="3"/>
      <c r="T15">
        <v>800</v>
      </c>
      <c r="U15" s="13">
        <f t="shared" si="6"/>
        <v>3189.5360000000001</v>
      </c>
      <c r="V15" s="13">
        <f t="shared" si="7"/>
        <v>3179.43</v>
      </c>
      <c r="W15" s="13">
        <f t="shared" si="8"/>
        <v>3297.8085721569055</v>
      </c>
      <c r="X15" s="13">
        <f t="shared" si="16"/>
        <v>2858.3353933169847</v>
      </c>
      <c r="Y15" s="13">
        <f t="shared" si="9"/>
        <v>3333.3333333333335</v>
      </c>
      <c r="Z15" s="13">
        <f t="shared" si="10"/>
        <v>3190.7299999999996</v>
      </c>
      <c r="AA15" s="13">
        <f t="shared" si="17"/>
        <v>3655.7392763835305</v>
      </c>
      <c r="AB15">
        <f t="shared" si="11"/>
        <v>3202.8680652326184</v>
      </c>
      <c r="AC15">
        <f t="shared" si="12"/>
        <v>3321.920997053533</v>
      </c>
      <c r="AD15">
        <f t="shared" si="13"/>
        <v>3290.6383962297241</v>
      </c>
    </row>
    <row r="16" spans="1:30" ht="15.75" customHeight="1" x14ac:dyDescent="0.15">
      <c r="F16" s="3"/>
      <c r="G16" s="3"/>
      <c r="H16">
        <v>850</v>
      </c>
      <c r="I16" s="14">
        <f t="shared" si="0"/>
        <v>3161.6909999999998</v>
      </c>
      <c r="J16" s="14">
        <f t="shared" si="1"/>
        <v>3095.4999999999995</v>
      </c>
      <c r="K16" s="14">
        <f t="shared" si="2"/>
        <v>3204.6760512750329</v>
      </c>
      <c r="L16" s="14">
        <f t="shared" si="15"/>
        <v>2777.107372098943</v>
      </c>
      <c r="M16" s="14">
        <f t="shared" si="3"/>
        <v>3148.1481481481478</v>
      </c>
      <c r="N16" s="14">
        <f t="shared" si="4"/>
        <v>3166.7799999999997</v>
      </c>
      <c r="O16" s="14">
        <f t="shared" si="14"/>
        <v>3638.0953900136919</v>
      </c>
      <c r="P16" s="3">
        <f t="shared" si="5"/>
        <v>3179.1837548127464</v>
      </c>
      <c r="S16" s="3"/>
      <c r="T16">
        <v>850</v>
      </c>
      <c r="U16" s="13">
        <f t="shared" si="6"/>
        <v>3374.7860000000001</v>
      </c>
      <c r="V16" s="13">
        <f t="shared" si="7"/>
        <v>3367.76</v>
      </c>
      <c r="W16" s="13">
        <f t="shared" si="8"/>
        <v>3497.6394980887035</v>
      </c>
      <c r="X16" s="13">
        <f t="shared" si="16"/>
        <v>3010.5658131633636</v>
      </c>
      <c r="Y16" s="13">
        <f t="shared" si="9"/>
        <v>3541.666666666667</v>
      </c>
      <c r="Z16" s="13">
        <f t="shared" si="10"/>
        <v>3382.2149999999997</v>
      </c>
      <c r="AA16" s="13">
        <f t="shared" si="17"/>
        <v>3808.0101389998708</v>
      </c>
      <c r="AB16">
        <f t="shared" si="11"/>
        <v>3399.1709297859561</v>
      </c>
      <c r="AC16">
        <f t="shared" si="12"/>
        <v>3533.8230497235054</v>
      </c>
      <c r="AD16">
        <f t="shared" si="13"/>
        <v>3506.9173279798806</v>
      </c>
    </row>
    <row r="17" spans="6:30" ht="15.75" customHeight="1" x14ac:dyDescent="0.15">
      <c r="F17" s="3"/>
      <c r="G17" s="3"/>
      <c r="H17">
        <v>900</v>
      </c>
      <c r="I17" s="14">
        <f t="shared" si="0"/>
        <v>3334.4059999999999</v>
      </c>
      <c r="J17" s="14">
        <f t="shared" si="1"/>
        <v>3266.7599999999998</v>
      </c>
      <c r="K17" s="14">
        <f t="shared" si="2"/>
        <v>3384.7020592128538</v>
      </c>
      <c r="L17" s="14">
        <f t="shared" si="15"/>
        <v>2916.3468631348883</v>
      </c>
      <c r="M17" s="14">
        <f t="shared" si="3"/>
        <v>3333.333333333333</v>
      </c>
      <c r="N17" s="14">
        <f t="shared" si="4"/>
        <v>3344.39</v>
      </c>
      <c r="O17" s="14">
        <f t="shared" si="14"/>
        <v>3781.2372057930734</v>
      </c>
      <c r="P17" s="3">
        <f t="shared" si="5"/>
        <v>3361.9258520209482</v>
      </c>
      <c r="S17" s="3"/>
      <c r="T17">
        <v>900</v>
      </c>
      <c r="U17" s="13">
        <f t="shared" si="6"/>
        <v>3560.0360000000001</v>
      </c>
      <c r="V17" s="13">
        <f t="shared" si="7"/>
        <v>3556.09</v>
      </c>
      <c r="W17" s="13">
        <f t="shared" si="8"/>
        <v>3697.1225822930255</v>
      </c>
      <c r="X17" s="13">
        <f t="shared" si="16"/>
        <v>3161.5105176305397</v>
      </c>
      <c r="Y17" s="13">
        <f t="shared" si="9"/>
        <v>3750</v>
      </c>
      <c r="Z17" s="13">
        <f t="shared" si="10"/>
        <v>3573.7</v>
      </c>
      <c r="AA17" s="13">
        <f t="shared" si="17"/>
        <v>3951.5749270416709</v>
      </c>
      <c r="AB17">
        <f t="shared" si="11"/>
        <v>3595.256700049767</v>
      </c>
      <c r="AC17">
        <f t="shared" si="12"/>
        <v>3745.9746797569278</v>
      </c>
      <c r="AD17">
        <f t="shared" si="13"/>
        <v>3723.8336608160662</v>
      </c>
    </row>
    <row r="18" spans="6:30" ht="15.75" customHeight="1" x14ac:dyDescent="0.15">
      <c r="F18" s="3"/>
      <c r="G18" s="3"/>
      <c r="H18">
        <v>950</v>
      </c>
      <c r="I18" s="14">
        <f t="shared" si="0"/>
        <v>3507.1210000000001</v>
      </c>
      <c r="J18" s="14">
        <f t="shared" si="1"/>
        <v>3438.0199999999995</v>
      </c>
      <c r="K18" s="14">
        <f t="shared" si="2"/>
        <v>3564.2903064040943</v>
      </c>
      <c r="L18" s="14">
        <f t="shared" si="15"/>
        <v>3054.4755040532141</v>
      </c>
      <c r="M18" s="14">
        <f t="shared" si="3"/>
        <v>3518.5185185185182</v>
      </c>
      <c r="N18" s="14">
        <f t="shared" si="4"/>
        <v>3522</v>
      </c>
      <c r="O18" s="14">
        <f t="shared" si="14"/>
        <v>3916.6377480202245</v>
      </c>
      <c r="P18" s="3">
        <f t="shared" si="5"/>
        <v>3544.4425890119624</v>
      </c>
      <c r="S18" s="3"/>
      <c r="T18">
        <v>950</v>
      </c>
      <c r="U18" s="13">
        <f t="shared" si="6"/>
        <v>3745.2860000000001</v>
      </c>
      <c r="V18" s="13">
        <f t="shared" si="7"/>
        <v>3744.42</v>
      </c>
      <c r="W18" s="13">
        <f t="shared" si="8"/>
        <v>3896.2777260465732</v>
      </c>
      <c r="X18" s="13">
        <f t="shared" si="16"/>
        <v>3311.2509880010166</v>
      </c>
      <c r="Y18" s="13">
        <f t="shared" si="9"/>
        <v>3958.3333333333335</v>
      </c>
      <c r="Z18" s="13">
        <f t="shared" si="10"/>
        <v>3765.1849999999995</v>
      </c>
      <c r="AA18" s="13">
        <f t="shared" si="17"/>
        <v>4087.3755667062214</v>
      </c>
      <c r="AB18">
        <f t="shared" si="11"/>
        <v>3791.1376701726454</v>
      </c>
      <c r="AC18">
        <f t="shared" si="12"/>
        <v>3958.3622770558804</v>
      </c>
      <c r="AD18">
        <f t="shared" si="13"/>
        <v>3941.3536715361688</v>
      </c>
    </row>
    <row r="19" spans="6:30" ht="15.75" customHeight="1" x14ac:dyDescent="0.15">
      <c r="F19" s="3"/>
      <c r="G19" s="3"/>
      <c r="H19">
        <v>1000</v>
      </c>
      <c r="I19" s="14">
        <f t="shared" si="0"/>
        <v>3679.8359999999998</v>
      </c>
      <c r="J19" s="14">
        <f t="shared" si="1"/>
        <v>3609.2799999999997</v>
      </c>
      <c r="K19" s="14">
        <f t="shared" si="2"/>
        <v>3743.4648371553499</v>
      </c>
      <c r="L19" s="14">
        <f t="shared" si="15"/>
        <v>3191.5599956642995</v>
      </c>
      <c r="M19" s="14">
        <f t="shared" si="3"/>
        <v>3703.7037037037035</v>
      </c>
      <c r="N19" s="14">
        <f t="shared" si="4"/>
        <v>3699.6099999999997</v>
      </c>
      <c r="O19" s="14">
        <f t="shared" si="14"/>
        <v>4045.0915451549663</v>
      </c>
      <c r="P19" s="3">
        <f t="shared" si="5"/>
        <v>3726.7460945988742</v>
      </c>
      <c r="S19" s="3"/>
      <c r="T19">
        <v>1000</v>
      </c>
      <c r="U19" s="13">
        <f t="shared" si="6"/>
        <v>3930.5360000000001</v>
      </c>
      <c r="V19" s="13">
        <f t="shared" si="7"/>
        <v>3932.75</v>
      </c>
      <c r="W19" s="13">
        <f t="shared" si="8"/>
        <v>4095.1227033038072</v>
      </c>
      <c r="X19" s="13">
        <f t="shared" si="16"/>
        <v>3459.8595323106692</v>
      </c>
      <c r="Y19" s="13">
        <f t="shared" si="9"/>
        <v>4166.666666666667</v>
      </c>
      <c r="Z19" s="13">
        <f t="shared" si="10"/>
        <v>3956.6699999999996</v>
      </c>
      <c r="AA19" s="13">
        <f t="shared" si="17"/>
        <v>4216.2089342194304</v>
      </c>
      <c r="AB19">
        <f t="shared" si="11"/>
        <v>3986.8248267529757</v>
      </c>
      <c r="AC19">
        <f t="shared" si="12"/>
        <v>4170.9736526772858</v>
      </c>
      <c r="AD19">
        <f t="shared" si="13"/>
        <v>4159.4471077016397</v>
      </c>
    </row>
    <row r="20" spans="6:30" ht="15.75" customHeight="1" x14ac:dyDescent="0.15">
      <c r="F20" s="3"/>
      <c r="G20" s="3"/>
      <c r="H20">
        <v>1050</v>
      </c>
      <c r="I20" s="14">
        <f t="shared" si="0"/>
        <v>3852.5509999999999</v>
      </c>
      <c r="J20" s="14">
        <f t="shared" si="1"/>
        <v>3780.5399999999995</v>
      </c>
      <c r="K20" s="14">
        <f t="shared" si="2"/>
        <v>3922.247238158554</v>
      </c>
      <c r="L20" s="14">
        <f t="shared" si="15"/>
        <v>3327.6599046636666</v>
      </c>
      <c r="M20" s="14">
        <f t="shared" si="3"/>
        <v>3888.8888888888887</v>
      </c>
      <c r="N20" s="14">
        <f t="shared" si="4"/>
        <v>3877.22</v>
      </c>
      <c r="O20" s="14">
        <f t="shared" si="14"/>
        <v>4167.2767532844737</v>
      </c>
      <c r="P20" s="3">
        <f t="shared" si="5"/>
        <v>3908.8472703183861</v>
      </c>
      <c r="S20" s="3"/>
      <c r="T20">
        <v>1050</v>
      </c>
      <c r="U20" s="13">
        <f t="shared" si="6"/>
        <v>4115.7860000000001</v>
      </c>
      <c r="V20" s="13">
        <f t="shared" si="7"/>
        <v>4121.08</v>
      </c>
      <c r="W20" s="13">
        <f t="shared" si="8"/>
        <v>4293.6734832845941</v>
      </c>
      <c r="X20" s="13">
        <f t="shared" si="16"/>
        <v>3607.4007247487775</v>
      </c>
      <c r="Y20" s="13">
        <f t="shared" si="9"/>
        <v>4375</v>
      </c>
      <c r="Z20" s="13">
        <f t="shared" si="10"/>
        <v>4148.1549999999997</v>
      </c>
      <c r="AA20" s="13">
        <f t="shared" si="17"/>
        <v>4338.7551895637953</v>
      </c>
      <c r="AB20">
        <f t="shared" si="11"/>
        <v>4182.328046463741</v>
      </c>
      <c r="AC20">
        <f t="shared" si="12"/>
        <v>4383.7978265886004</v>
      </c>
      <c r="AD20">
        <f t="shared" si="13"/>
        <v>4378.086674117023</v>
      </c>
    </row>
    <row r="21" spans="6:30" ht="15.75" customHeight="1" x14ac:dyDescent="0.15">
      <c r="F21" s="3"/>
      <c r="G21" s="3"/>
      <c r="H21">
        <v>1100</v>
      </c>
      <c r="I21" s="14">
        <f t="shared" si="0"/>
        <v>4025.2660000000001</v>
      </c>
      <c r="J21" s="14">
        <f t="shared" si="1"/>
        <v>3951.7999999999997</v>
      </c>
      <c r="K21" s="14">
        <f t="shared" si="2"/>
        <v>4100.6569949091281</v>
      </c>
      <c r="L21" s="14">
        <f t="shared" si="15"/>
        <v>3462.828729762758</v>
      </c>
      <c r="M21" s="14">
        <f t="shared" si="3"/>
        <v>4074.0740740740739</v>
      </c>
      <c r="N21" s="14">
        <f t="shared" si="4"/>
        <v>4054.83</v>
      </c>
      <c r="O21" s="14">
        <f t="shared" si="14"/>
        <v>4283.7768284389385</v>
      </c>
      <c r="P21" s="3">
        <f t="shared" si="5"/>
        <v>4090.7559672474049</v>
      </c>
      <c r="S21" s="3"/>
      <c r="T21">
        <v>1100</v>
      </c>
      <c r="U21" s="13">
        <f t="shared" si="6"/>
        <v>4301.0360000000001</v>
      </c>
      <c r="V21" s="13">
        <f t="shared" si="7"/>
        <v>4309.41</v>
      </c>
      <c r="W21" s="13">
        <f t="shared" si="8"/>
        <v>4491.9444910764159</v>
      </c>
      <c r="X21" s="13">
        <f t="shared" si="16"/>
        <v>3753.9325614134882</v>
      </c>
      <c r="Y21" s="13">
        <f t="shared" si="9"/>
        <v>4583.3333333333339</v>
      </c>
      <c r="Z21" s="13">
        <f t="shared" si="10"/>
        <v>4339.6400000000003</v>
      </c>
      <c r="AA21" s="13">
        <f t="shared" si="17"/>
        <v>4455.5995128339528</v>
      </c>
      <c r="AB21">
        <f t="shared" si="11"/>
        <v>4377.6562557953348</v>
      </c>
      <c r="AC21">
        <f t="shared" si="12"/>
        <v>4596.8248557532615</v>
      </c>
      <c r="AD21">
        <f t="shared" si="13"/>
        <v>4597.2476162222256</v>
      </c>
    </row>
    <row r="22" spans="6:30" ht="15.75" customHeight="1" x14ac:dyDescent="0.15">
      <c r="F22" s="3"/>
      <c r="G22" s="3"/>
      <c r="H22">
        <v>1150</v>
      </c>
      <c r="I22" s="14">
        <f t="shared" si="0"/>
        <v>4197.9809999999998</v>
      </c>
      <c r="J22" s="14">
        <f t="shared" si="1"/>
        <v>4123.0599999999995</v>
      </c>
      <c r="K22" s="14">
        <f t="shared" si="2"/>
        <v>4278.7117825533096</v>
      </c>
      <c r="L22" s="14">
        <f t="shared" si="15"/>
        <v>3597.1147672866746</v>
      </c>
      <c r="M22" s="14">
        <f t="shared" si="3"/>
        <v>4259.2592592592591</v>
      </c>
      <c r="N22" s="14">
        <f t="shared" si="4"/>
        <v>4232.4400000000005</v>
      </c>
      <c r="O22" s="14">
        <f t="shared" si="14"/>
        <v>4395.0973774450795</v>
      </c>
      <c r="P22" s="3">
        <f t="shared" si="5"/>
        <v>4272.4811304478435</v>
      </c>
      <c r="S22" s="3"/>
      <c r="T22">
        <v>1150</v>
      </c>
      <c r="U22" s="13">
        <f t="shared" si="6"/>
        <v>4486.2860000000001</v>
      </c>
      <c r="V22" s="13">
        <f t="shared" si="7"/>
        <v>4497.74</v>
      </c>
      <c r="W22" s="13">
        <f t="shared" si="8"/>
        <v>4689.9488204457139</v>
      </c>
      <c r="X22" s="13">
        <f t="shared" si="16"/>
        <v>3899.5073986763059</v>
      </c>
      <c r="Y22" s="13">
        <f t="shared" si="9"/>
        <v>4791.666666666667</v>
      </c>
      <c r="Z22" s="13">
        <f t="shared" si="10"/>
        <v>4531.125</v>
      </c>
      <c r="AA22" s="13">
        <f t="shared" si="17"/>
        <v>4567.2490048831205</v>
      </c>
      <c r="AB22">
        <f t="shared" si="11"/>
        <v>4572.8175615748905</v>
      </c>
      <c r="AC22">
        <f t="shared" si="12"/>
        <v>4810.0456933910764</v>
      </c>
      <c r="AD22">
        <f t="shared" si="13"/>
        <v>4816.9073785152868</v>
      </c>
    </row>
    <row r="23" spans="6:30" ht="15.75" customHeight="1" x14ac:dyDescent="0.15">
      <c r="F23" s="3"/>
      <c r="G23" s="3"/>
      <c r="H23">
        <v>1200</v>
      </c>
      <c r="I23" s="14">
        <f t="shared" si="0"/>
        <v>4370.6959999999999</v>
      </c>
      <c r="J23" s="14">
        <f t="shared" si="1"/>
        <v>4294.32</v>
      </c>
      <c r="K23" s="14">
        <f t="shared" si="2"/>
        <v>4456.4277055605799</v>
      </c>
      <c r="L23" s="14">
        <f t="shared" si="15"/>
        <v>3730.5618210399398</v>
      </c>
      <c r="M23" s="14">
        <f t="shared" si="3"/>
        <v>4444.4444444444443</v>
      </c>
      <c r="N23" s="14">
        <f t="shared" si="4"/>
        <v>4410.05</v>
      </c>
      <c r="O23" s="14">
        <f t="shared" si="14"/>
        <v>4501.6794198340685</v>
      </c>
      <c r="P23" s="3">
        <f t="shared" si="5"/>
        <v>4454.0309181197308</v>
      </c>
      <c r="S23" s="3"/>
      <c r="T23">
        <v>1200</v>
      </c>
      <c r="U23" s="13">
        <f t="shared" si="6"/>
        <v>4671.5360000000001</v>
      </c>
      <c r="V23" s="13">
        <f t="shared" si="7"/>
        <v>4686.07</v>
      </c>
      <c r="W23" s="13">
        <f t="shared" si="8"/>
        <v>4887.6984093244764</v>
      </c>
      <c r="X23" s="13">
        <f t="shared" si="16"/>
        <v>4044.1727227229339</v>
      </c>
      <c r="Y23" s="13">
        <f t="shared" si="9"/>
        <v>5000</v>
      </c>
      <c r="Z23" s="13">
        <f t="shared" si="10"/>
        <v>4722.6099999999997</v>
      </c>
      <c r="AA23" s="13">
        <f t="shared" si="17"/>
        <v>4674.145988418808</v>
      </c>
      <c r="AB23">
        <f t="shared" si="11"/>
        <v>4767.8193586498228</v>
      </c>
      <c r="AC23">
        <f t="shared" si="12"/>
        <v>5023.4520726457376</v>
      </c>
      <c r="AD23">
        <f t="shared" si="13"/>
        <v>5037.0453218045795</v>
      </c>
    </row>
    <row r="24" spans="6:30" ht="15.75" customHeight="1" x14ac:dyDescent="0.15">
      <c r="F24" s="3"/>
      <c r="G24" s="3"/>
      <c r="H24">
        <v>1250</v>
      </c>
      <c r="I24" s="14">
        <f t="shared" si="0"/>
        <v>4543.4110000000001</v>
      </c>
      <c r="J24" s="14">
        <f t="shared" si="1"/>
        <v>4465.58</v>
      </c>
      <c r="K24" s="14">
        <f t="shared" si="2"/>
        <v>4633.8194969869355</v>
      </c>
      <c r="L24" s="14">
        <f t="shared" si="15"/>
        <v>3863.2097897812923</v>
      </c>
      <c r="M24" s="14">
        <f t="shared" si="3"/>
        <v>4629.6296296296296</v>
      </c>
      <c r="N24" s="14">
        <f t="shared" si="4"/>
        <v>4587.66</v>
      </c>
      <c r="O24" s="14">
        <f t="shared" si="14"/>
        <v>4603.9099407111426</v>
      </c>
      <c r="P24" s="3">
        <f t="shared" si="5"/>
        <v>4635.4128007630916</v>
      </c>
      <c r="S24" s="3"/>
      <c r="T24">
        <v>1250</v>
      </c>
      <c r="U24" s="13">
        <f t="shared" si="6"/>
        <v>4856.7860000000001</v>
      </c>
      <c r="V24" s="13">
        <f t="shared" si="7"/>
        <v>4874.3999999999996</v>
      </c>
      <c r="W24" s="13">
        <f t="shared" si="8"/>
        <v>5085.2041858045113</v>
      </c>
      <c r="X24" s="13">
        <f t="shared" si="16"/>
        <v>4187.971786414314</v>
      </c>
      <c r="Y24" s="13">
        <f t="shared" si="9"/>
        <v>5208.3333333333339</v>
      </c>
      <c r="Z24" s="13">
        <f t="shared" si="10"/>
        <v>4914.0950000000003</v>
      </c>
      <c r="AA24" s="13">
        <f t="shared" si="17"/>
        <v>4776.6785920553339</v>
      </c>
      <c r="AB24">
        <f t="shared" si="11"/>
        <v>4962.6684195183989</v>
      </c>
      <c r="AC24">
        <f t="shared" si="12"/>
        <v>5237.0364095831546</v>
      </c>
      <c r="AD24">
        <f t="shared" si="13"/>
        <v>5257.6424871205227</v>
      </c>
    </row>
    <row r="25" spans="6:30" ht="15.75" customHeight="1" x14ac:dyDescent="0.15">
      <c r="F25" s="3"/>
      <c r="G25" s="3"/>
      <c r="H25">
        <v>1300</v>
      </c>
      <c r="I25" s="14">
        <f t="shared" si="0"/>
        <v>4716.1260000000002</v>
      </c>
      <c r="J25" s="14">
        <f t="shared" si="1"/>
        <v>4636.8399999999992</v>
      </c>
      <c r="K25" s="14">
        <f t="shared" si="2"/>
        <v>4810.900685488873</v>
      </c>
      <c r="L25" s="14">
        <f t="shared" si="15"/>
        <v>3995.0951574613528</v>
      </c>
      <c r="M25" s="14">
        <f t="shared" si="3"/>
        <v>4814.8148148148148</v>
      </c>
      <c r="N25" s="14">
        <f t="shared" si="4"/>
        <v>4765.2699999999995</v>
      </c>
      <c r="O25" s="14">
        <f t="shared" si="14"/>
        <v>4702.130372660904</v>
      </c>
      <c r="P25" s="3">
        <f t="shared" si="5"/>
        <v>4816.6336443698165</v>
      </c>
      <c r="S25" s="3"/>
      <c r="T25">
        <v>1300</v>
      </c>
      <c r="U25" s="13">
        <f t="shared" si="6"/>
        <v>5042.0360000000001</v>
      </c>
      <c r="V25" s="13">
        <f t="shared" si="7"/>
        <v>5062.7299999999996</v>
      </c>
      <c r="W25" s="13">
        <f t="shared" si="8"/>
        <v>5282.476190579745</v>
      </c>
      <c r="X25" s="13">
        <f t="shared" si="16"/>
        <v>4330.9441407363511</v>
      </c>
      <c r="Y25" s="13">
        <f t="shared" si="9"/>
        <v>5416.666666666667</v>
      </c>
      <c r="Z25" s="13">
        <f t="shared" si="10"/>
        <v>5105.58</v>
      </c>
      <c r="AA25" s="13">
        <f t="shared" si="17"/>
        <v>4875.189257282429</v>
      </c>
      <c r="AB25">
        <f t="shared" si="11"/>
        <v>5157.3709695365451</v>
      </c>
      <c r="AC25">
        <f t="shared" si="12"/>
        <v>5450.7917216612504</v>
      </c>
      <c r="AD25">
        <f t="shared" si="13"/>
        <v>5478.6813970217445</v>
      </c>
    </row>
    <row r="26" spans="6:30" ht="15.75" customHeight="1" x14ac:dyDescent="0.15">
      <c r="F26" s="3"/>
      <c r="G26" s="3"/>
      <c r="H26">
        <v>1350</v>
      </c>
      <c r="I26" s="14">
        <f t="shared" si="0"/>
        <v>4888.8410000000003</v>
      </c>
      <c r="J26" s="14">
        <f t="shared" si="1"/>
        <v>4808.0999999999995</v>
      </c>
      <c r="K26" s="14">
        <f t="shared" si="2"/>
        <v>4987.6837363490495</v>
      </c>
      <c r="L26" s="14">
        <f t="shared" si="15"/>
        <v>4126.2514054384665</v>
      </c>
      <c r="M26" s="14">
        <f t="shared" si="3"/>
        <v>5000</v>
      </c>
      <c r="N26" s="14">
        <f t="shared" si="4"/>
        <v>4942.88</v>
      </c>
      <c r="O26" s="14">
        <f t="shared" si="14"/>
        <v>4796.6434760283482</v>
      </c>
      <c r="P26" s="3">
        <f t="shared" si="5"/>
        <v>4997.6997807341031</v>
      </c>
      <c r="S26" s="3"/>
      <c r="T26">
        <v>1350</v>
      </c>
      <c r="U26" s="13">
        <f t="shared" si="6"/>
        <v>5227.2860000000001</v>
      </c>
      <c r="V26" s="13">
        <f t="shared" si="7"/>
        <v>5251.0599999999995</v>
      </c>
      <c r="W26" s="13">
        <f t="shared" si="8"/>
        <v>5479.5236803973767</v>
      </c>
      <c r="X26" s="13">
        <f t="shared" si="16"/>
        <v>4473.12608166874</v>
      </c>
      <c r="Y26" s="13">
        <f t="shared" si="9"/>
        <v>5625</v>
      </c>
      <c r="Z26" s="13">
        <f t="shared" si="10"/>
        <v>5297.0650000000005</v>
      </c>
      <c r="AA26" s="13">
        <f t="shared" si="17"/>
        <v>4969.9816390769483</v>
      </c>
      <c r="AB26">
        <f t="shared" si="11"/>
        <v>5351.9327504886778</v>
      </c>
      <c r="AC26">
        <f t="shared" si="12"/>
        <v>5664.7115587018206</v>
      </c>
      <c r="AD26">
        <f t="shared" si="13"/>
        <v>5700.1458871576842</v>
      </c>
    </row>
    <row r="27" spans="6:30" ht="15.75" customHeight="1" x14ac:dyDescent="0.15">
      <c r="F27" s="3"/>
      <c r="G27" s="3"/>
      <c r="H27">
        <v>1400</v>
      </c>
      <c r="I27" s="14">
        <f t="shared" si="0"/>
        <v>5061.5559999999996</v>
      </c>
      <c r="J27" s="14">
        <f t="shared" si="1"/>
        <v>4979.3599999999997</v>
      </c>
      <c r="K27" s="14">
        <f t="shared" si="2"/>
        <v>5164.1801713717778</v>
      </c>
      <c r="L27" s="14">
        <f t="shared" si="15"/>
        <v>4256.7093615192853</v>
      </c>
      <c r="M27" s="14">
        <f t="shared" si="3"/>
        <v>5185.1851851851852</v>
      </c>
      <c r="N27" s="14">
        <f t="shared" si="4"/>
        <v>5120.49</v>
      </c>
      <c r="O27" s="14">
        <f t="shared" si="14"/>
        <v>4887.7189673254688</v>
      </c>
      <c r="P27" s="3">
        <f t="shared" si="5"/>
        <v>5178.6170672801345</v>
      </c>
      <c r="S27" s="3"/>
      <c r="T27">
        <v>1400</v>
      </c>
      <c r="U27" s="13">
        <f t="shared" si="6"/>
        <v>5412.5360000000001</v>
      </c>
      <c r="V27" s="13">
        <f t="shared" si="7"/>
        <v>5439.3899999999994</v>
      </c>
      <c r="W27" s="13">
        <f t="shared" si="8"/>
        <v>5676.3552160590716</v>
      </c>
      <c r="X27" s="13">
        <f t="shared" si="16"/>
        <v>4614.5510285677992</v>
      </c>
      <c r="Y27" s="13">
        <f t="shared" si="9"/>
        <v>5833.3333333333339</v>
      </c>
      <c r="Z27" s="13">
        <f t="shared" si="10"/>
        <v>5488.55</v>
      </c>
      <c r="AA27" s="13">
        <f t="shared" si="17"/>
        <v>5061.3262509409324</v>
      </c>
      <c r="AB27">
        <f t="shared" si="11"/>
        <v>5546.3590746880127</v>
      </c>
      <c r="AC27">
        <f t="shared" si="12"/>
        <v>5878.7899440541105</v>
      </c>
      <c r="AD27">
        <f t="shared" si="13"/>
        <v>5922.0209625269144</v>
      </c>
    </row>
    <row r="28" spans="6:30" ht="15.75" customHeight="1" x14ac:dyDescent="0.15">
      <c r="F28" s="3"/>
      <c r="G28" s="3"/>
      <c r="H28">
        <v>1450</v>
      </c>
      <c r="I28" s="14">
        <f t="shared" si="0"/>
        <v>5234.2709999999997</v>
      </c>
      <c r="J28" s="14">
        <f t="shared" si="1"/>
        <v>5150.62</v>
      </c>
      <c r="K28" s="14">
        <f t="shared" si="2"/>
        <v>5340.4006714569896</v>
      </c>
      <c r="L28" s="14">
        <f t="shared" si="15"/>
        <v>4386.4974974163233</v>
      </c>
      <c r="M28" s="14">
        <f t="shared" si="3"/>
        <v>5370.3703703703704</v>
      </c>
      <c r="N28" s="14">
        <f t="shared" si="4"/>
        <v>5298.0999999999995</v>
      </c>
      <c r="O28" s="14">
        <f t="shared" si="14"/>
        <v>4975.5981595288358</v>
      </c>
      <c r="P28" s="3">
        <f t="shared" si="5"/>
        <v>5359.3909382891325</v>
      </c>
      <c r="S28" s="3"/>
      <c r="T28">
        <v>1450</v>
      </c>
      <c r="U28" s="13">
        <f t="shared" si="6"/>
        <v>5597.7860000000001</v>
      </c>
      <c r="V28" s="13">
        <f t="shared" si="7"/>
        <v>5627.7199999999993</v>
      </c>
      <c r="W28" s="13">
        <f t="shared" si="8"/>
        <v>5872.9787377497723</v>
      </c>
      <c r="X28" s="13">
        <f t="shared" si="16"/>
        <v>4755.249846629893</v>
      </c>
      <c r="Y28" s="13">
        <f t="shared" si="9"/>
        <v>6041.666666666667</v>
      </c>
      <c r="Z28" s="13">
        <f t="shared" si="10"/>
        <v>5680.0349999999999</v>
      </c>
      <c r="AA28" s="13">
        <f t="shared" si="17"/>
        <v>5149.465118910899</v>
      </c>
      <c r="AB28">
        <f t="shared" si="11"/>
        <v>5740.6548713056873</v>
      </c>
      <c r="AC28">
        <f t="shared" si="12"/>
        <v>6093.0213241343481</v>
      </c>
      <c r="AD28">
        <f t="shared" si="13"/>
        <v>6144.2926740552184</v>
      </c>
    </row>
    <row r="29" spans="6:30" ht="15.75" customHeight="1" x14ac:dyDescent="0.15">
      <c r="F29" s="3"/>
      <c r="G29" s="3"/>
      <c r="H29">
        <v>1500</v>
      </c>
      <c r="I29" s="14">
        <f t="shared" si="0"/>
        <v>5406.9859999999999</v>
      </c>
      <c r="J29" s="14">
        <f t="shared" si="1"/>
        <v>5321.8799999999992</v>
      </c>
      <c r="K29" s="14">
        <f t="shared" si="2"/>
        <v>5516.3551648668481</v>
      </c>
      <c r="L29" s="14">
        <f t="shared" si="15"/>
        <v>4515.6421837610114</v>
      </c>
      <c r="M29" s="14">
        <f t="shared" si="3"/>
        <v>5555.5555555555547</v>
      </c>
      <c r="N29" s="14">
        <f t="shared" si="4"/>
        <v>5475.71</v>
      </c>
      <c r="O29" s="14">
        <f t="shared" si="14"/>
        <v>5060.4978153902448</v>
      </c>
      <c r="P29" s="3">
        <f t="shared" si="5"/>
        <v>5540.0264490165209</v>
      </c>
      <c r="S29" s="3"/>
      <c r="T29">
        <v>1500</v>
      </c>
      <c r="U29" s="13">
        <f t="shared" si="6"/>
        <v>5783.0360000000001</v>
      </c>
      <c r="V29" s="13">
        <f t="shared" si="7"/>
        <v>5816.0499999999993</v>
      </c>
      <c r="W29" s="13">
        <f t="shared" si="8"/>
        <v>6069.4016298937149</v>
      </c>
      <c r="X29" s="13">
        <f t="shared" si="16"/>
        <v>4895.2511233421956</v>
      </c>
      <c r="Y29" s="13">
        <f t="shared" si="9"/>
        <v>6250</v>
      </c>
      <c r="Z29" s="13">
        <f t="shared" si="10"/>
        <v>5871.52</v>
      </c>
      <c r="AA29" s="13">
        <f t="shared" si="17"/>
        <v>5234.6156462547078</v>
      </c>
      <c r="AB29">
        <f t="shared" si="11"/>
        <v>5934.8247262748291</v>
      </c>
      <c r="AC29">
        <f t="shared" si="12"/>
        <v>6307.4005249001957</v>
      </c>
      <c r="AD29">
        <f t="shared" si="13"/>
        <v>6366.9480120171575</v>
      </c>
    </row>
    <row r="30" spans="6:30" ht="15.75" customHeight="1" x14ac:dyDescent="0.15">
      <c r="F30" s="3"/>
      <c r="G30" s="3"/>
      <c r="H30">
        <v>1550</v>
      </c>
      <c r="I30" s="14">
        <f t="shared" si="0"/>
        <v>5579.701</v>
      </c>
      <c r="J30" s="14">
        <f t="shared" si="1"/>
        <v>5493.1399999999994</v>
      </c>
      <c r="K30" s="14">
        <f t="shared" si="2"/>
        <v>5692.0529035916288</v>
      </c>
      <c r="L30" s="14">
        <f t="shared" ref="L30:L35" si="18">(H30*12.4148)^0.8559</f>
        <v>4644.1679099410594</v>
      </c>
      <c r="M30" s="14">
        <f t="shared" si="3"/>
        <v>5740.74074074074</v>
      </c>
      <c r="N30" s="14">
        <f t="shared" si="4"/>
        <v>5653.32</v>
      </c>
      <c r="O30" s="14">
        <f t="shared" si="14"/>
        <v>5142.6133686858593</v>
      </c>
      <c r="P30" s="3">
        <f t="shared" si="5"/>
        <v>5720.5283138905452</v>
      </c>
      <c r="S30" s="3"/>
      <c r="T30">
        <v>1550</v>
      </c>
      <c r="U30" s="13">
        <f t="shared" si="6"/>
        <v>5968.2860000000001</v>
      </c>
      <c r="V30" s="13">
        <f t="shared" si="7"/>
        <v>6004.3799999999992</v>
      </c>
      <c r="W30" s="13">
        <f t="shared" si="8"/>
        <v>6265.6307772946675</v>
      </c>
      <c r="X30" s="13">
        <f t="shared" si="16"/>
        <v>5034.5814068008531</v>
      </c>
      <c r="Y30" s="13">
        <f t="shared" si="9"/>
        <v>6458.3333333333339</v>
      </c>
      <c r="Z30" s="13">
        <f t="shared" si="10"/>
        <v>6063.0050000000001</v>
      </c>
      <c r="AA30" s="13">
        <f t="shared" si="17"/>
        <v>5316.9738442392154</v>
      </c>
      <c r="AB30">
        <f t="shared" si="11"/>
        <v>6128.8729168455138</v>
      </c>
      <c r="AC30">
        <f t="shared" si="12"/>
        <v>6521.9227141075417</v>
      </c>
      <c r="AD30">
        <f t="shared" si="13"/>
        <v>6589.9748135165664</v>
      </c>
    </row>
    <row r="31" spans="6:30" ht="15.75" customHeight="1" x14ac:dyDescent="0.15">
      <c r="F31" s="3"/>
      <c r="G31" s="3"/>
      <c r="H31">
        <v>1600</v>
      </c>
      <c r="I31" s="14">
        <f t="shared" si="0"/>
        <v>5752.4160000000002</v>
      </c>
      <c r="J31" s="14">
        <f t="shared" si="1"/>
        <v>5664.4</v>
      </c>
      <c r="K31" s="14">
        <f t="shared" si="2"/>
        <v>5867.5025297519096</v>
      </c>
      <c r="L31" s="14">
        <f t="shared" si="18"/>
        <v>4772.0974745921822</v>
      </c>
      <c r="M31" s="14">
        <f t="shared" si="3"/>
        <v>5925.9259259259252</v>
      </c>
      <c r="N31" s="14">
        <f t="shared" si="4"/>
        <v>5830.93</v>
      </c>
      <c r="O31" s="14">
        <f t="shared" si="14"/>
        <v>5222.1216338750637</v>
      </c>
      <c r="P31" s="3">
        <f t="shared" si="5"/>
        <v>5900.9009397518621</v>
      </c>
      <c r="S31" s="3"/>
      <c r="T31">
        <v>1600</v>
      </c>
      <c r="U31" s="13">
        <f t="shared" si="6"/>
        <v>6153.5360000000001</v>
      </c>
      <c r="V31" s="13">
        <f t="shared" si="7"/>
        <v>6192.7099999999991</v>
      </c>
      <c r="W31" s="13">
        <f t="shared" si="8"/>
        <v>6461.6726139754446</v>
      </c>
      <c r="X31" s="13">
        <f t="shared" si="16"/>
        <v>5173.2654122163249</v>
      </c>
      <c r="Y31" s="13">
        <f t="shared" si="9"/>
        <v>6666.666666666667</v>
      </c>
      <c r="Z31" s="13">
        <f t="shared" si="10"/>
        <v>6254.49</v>
      </c>
      <c r="AA31" s="13">
        <f t="shared" si="17"/>
        <v>5396.7170497959451</v>
      </c>
      <c r="AB31">
        <f t="shared" si="11"/>
        <v>6322.80344165726</v>
      </c>
      <c r="AC31">
        <f>2.71828^(1.02*LN(T31)+1.29)</f>
        <v>6736.5833684188674</v>
      </c>
      <c r="AD31">
        <f t="shared" si="13"/>
        <v>6813.3616817764214</v>
      </c>
    </row>
    <row r="32" spans="6:30" ht="15.75" customHeight="1" x14ac:dyDescent="0.15">
      <c r="F32" s="3"/>
      <c r="G32" s="3"/>
      <c r="H32">
        <v>1650</v>
      </c>
      <c r="I32" s="14">
        <f t="shared" si="0"/>
        <v>5925.1310000000003</v>
      </c>
      <c r="J32" s="14">
        <f t="shared" si="1"/>
        <v>5835.66</v>
      </c>
      <c r="K32" s="14">
        <f t="shared" si="2"/>
        <v>6042.7121336082164</v>
      </c>
      <c r="L32" s="14">
        <f t="shared" si="18"/>
        <v>4899.452151455338</v>
      </c>
      <c r="M32" s="14">
        <f t="shared" si="3"/>
        <v>6111.1111111111104</v>
      </c>
      <c r="N32" s="14">
        <f t="shared" si="4"/>
        <v>6008.54</v>
      </c>
      <c r="O32" s="14">
        <f t="shared" si="14"/>
        <v>5299.1830986742134</v>
      </c>
      <c r="P32" s="3">
        <f t="shared" si="5"/>
        <v>6081.1484549129473</v>
      </c>
      <c r="S32" s="3"/>
    </row>
    <row r="33" spans="6:20" ht="15.75" customHeight="1" x14ac:dyDescent="0.15">
      <c r="F33" s="3"/>
      <c r="G33" s="3"/>
      <c r="H33">
        <v>1700</v>
      </c>
      <c r="I33" s="14">
        <f t="shared" si="0"/>
        <v>6097.8459999999995</v>
      </c>
      <c r="J33" s="14">
        <f t="shared" si="1"/>
        <v>6006.9199999999992</v>
      </c>
      <c r="K33" s="14">
        <f t="shared" si="2"/>
        <v>6217.6893044610797</v>
      </c>
      <c r="L33" s="14">
        <f t="shared" si="18"/>
        <v>5026.2518344351583</v>
      </c>
      <c r="M33" s="14">
        <f t="shared" si="3"/>
        <v>6296.2962962962956</v>
      </c>
      <c r="N33" s="14">
        <f t="shared" si="4"/>
        <v>6186.15</v>
      </c>
      <c r="O33" s="14">
        <f t="shared" si="14"/>
        <v>5373.9438742899583</v>
      </c>
      <c r="P33" s="3">
        <f t="shared" si="5"/>
        <v>6261.2747346739425</v>
      </c>
      <c r="S33" s="3"/>
    </row>
    <row r="34" spans="6:20" ht="15.75" customHeight="1" x14ac:dyDescent="0.15">
      <c r="F34" s="3"/>
      <c r="G34" s="3"/>
      <c r="H34">
        <v>1750</v>
      </c>
      <c r="I34" s="14">
        <f t="shared" si="0"/>
        <v>6270.5609999999997</v>
      </c>
      <c r="J34" s="14">
        <f t="shared" si="1"/>
        <v>6178.1799999999994</v>
      </c>
      <c r="K34" s="14">
        <f t="shared" si="2"/>
        <v>6392.4411754966859</v>
      </c>
      <c r="L34" s="14">
        <f t="shared" si="18"/>
        <v>5152.5151650022899</v>
      </c>
      <c r="M34" s="14">
        <f t="shared" si="3"/>
        <v>6481.4814814814808</v>
      </c>
      <c r="N34" s="14">
        <f t="shared" si="4"/>
        <v>6363.76</v>
      </c>
      <c r="O34" s="14">
        <f t="shared" si="14"/>
        <v>5446.5373628816451</v>
      </c>
      <c r="P34" s="3">
        <f t="shared" si="5"/>
        <v>6441.2834238186324</v>
      </c>
      <c r="S34" s="3"/>
    </row>
    <row r="35" spans="6:20" ht="15.75" customHeight="1" x14ac:dyDescent="0.15">
      <c r="F35" s="3"/>
      <c r="G35" s="3"/>
      <c r="H35">
        <v>1800</v>
      </c>
      <c r="I35" s="14">
        <f t="shared" si="0"/>
        <v>6443.2759999999998</v>
      </c>
      <c r="J35" s="14">
        <f t="shared" si="1"/>
        <v>6349.44</v>
      </c>
      <c r="K35" s="14">
        <f t="shared" si="2"/>
        <v>6566.9744634507015</v>
      </c>
      <c r="L35" s="14">
        <f t="shared" si="18"/>
        <v>5278.2596445315676</v>
      </c>
      <c r="M35" s="14">
        <f t="shared" si="3"/>
        <v>6666.6666666666661</v>
      </c>
      <c r="N35" s="14">
        <f t="shared" si="4"/>
        <v>6541.37</v>
      </c>
      <c r="O35" s="14">
        <f t="shared" si="14"/>
        <v>5517.0856900693434</v>
      </c>
      <c r="P35" s="3">
        <f>4.3444*H35^0.9778</f>
        <v>6621.1779565241804</v>
      </c>
      <c r="S35" s="3"/>
    </row>
    <row r="36" spans="6:20" ht="15.75" customHeight="1" x14ac:dyDescent="0.15">
      <c r="F36" s="3"/>
      <c r="G36" s="3"/>
      <c r="S36" s="3"/>
      <c r="T36" s="3"/>
    </row>
    <row r="37" spans="6:20" ht="15.75" customHeight="1" x14ac:dyDescent="0.15">
      <c r="F37" s="3"/>
      <c r="G37" s="3"/>
      <c r="H37" s="3"/>
      <c r="I37" s="3"/>
      <c r="J37" s="3"/>
      <c r="K37" s="3"/>
      <c r="L37" s="3"/>
      <c r="M37" s="3"/>
      <c r="N37" s="3"/>
      <c r="O37" s="3"/>
      <c r="S37" s="3"/>
      <c r="T37" s="3"/>
    </row>
    <row r="38" spans="6:20" ht="15.75" customHeight="1" x14ac:dyDescent="0.15">
      <c r="F38" s="3"/>
      <c r="G38" s="3"/>
      <c r="H38" s="3"/>
      <c r="I38" s="3"/>
      <c r="J38" s="3"/>
      <c r="K38" s="3"/>
      <c r="L38" s="3"/>
      <c r="M38" s="3"/>
      <c r="N38" s="3"/>
      <c r="O38" s="3"/>
      <c r="S38" s="3"/>
      <c r="T38" s="3"/>
    </row>
    <row r="39" spans="6:20" ht="15.75" customHeight="1" x14ac:dyDescent="0.15">
      <c r="F39" s="3"/>
      <c r="G39" s="3"/>
      <c r="H39" s="3"/>
      <c r="I39" s="3"/>
      <c r="J39" s="3"/>
      <c r="K39" s="3"/>
      <c r="L39" s="3"/>
      <c r="M39" s="3"/>
      <c r="N39" s="3"/>
      <c r="O39" s="3"/>
      <c r="S39" s="3"/>
      <c r="T39" s="3"/>
    </row>
    <row r="40" spans="6:20" ht="15.75" customHeight="1" x14ac:dyDescent="0.15">
      <c r="F40" s="3"/>
      <c r="G40" s="3"/>
      <c r="H40" s="3"/>
      <c r="I40" s="3"/>
      <c r="J40" s="3"/>
      <c r="K40" s="3"/>
      <c r="L40" s="3"/>
      <c r="M40" s="3"/>
      <c r="N40" s="3"/>
      <c r="O40" s="3"/>
      <c r="S40" s="3"/>
      <c r="T40" s="3"/>
    </row>
    <row r="41" spans="6:20" ht="15.75" customHeight="1" x14ac:dyDescent="0.15">
      <c r="F41" s="3"/>
      <c r="G41" s="3"/>
      <c r="H41" s="3"/>
      <c r="I41" s="3"/>
      <c r="J41" s="3"/>
      <c r="K41" s="3"/>
      <c r="L41" s="3"/>
      <c r="M41" s="3"/>
      <c r="N41" s="3"/>
      <c r="O41" s="3"/>
      <c r="S41" s="3"/>
      <c r="T41" s="3"/>
    </row>
    <row r="42" spans="6:20" ht="15.75" customHeight="1" x14ac:dyDescent="0.15">
      <c r="F42" s="3"/>
      <c r="G42" s="3"/>
      <c r="H42" s="3"/>
      <c r="I42" s="3"/>
      <c r="J42" s="3"/>
      <c r="K42" s="3"/>
      <c r="L42" s="3"/>
      <c r="M42" s="3"/>
      <c r="N42" s="3"/>
      <c r="O42" s="3"/>
      <c r="S42" s="3"/>
      <c r="T42" s="3"/>
    </row>
    <row r="43" spans="6:20" ht="15.75" customHeight="1" x14ac:dyDescent="0.15">
      <c r="F43" s="3"/>
      <c r="G43" s="3"/>
      <c r="H43" s="3"/>
      <c r="I43" s="3"/>
      <c r="J43" s="3"/>
      <c r="K43" s="3"/>
      <c r="L43" s="3"/>
      <c r="M43" s="3"/>
      <c r="N43" s="3"/>
      <c r="O43" s="3"/>
      <c r="S43" s="3"/>
      <c r="T43" s="3"/>
    </row>
    <row r="44" spans="6:20" ht="15.75" customHeight="1" x14ac:dyDescent="0.15">
      <c r="F44" s="3"/>
      <c r="G44" s="3"/>
      <c r="H44" s="3"/>
      <c r="I44" s="3"/>
      <c r="J44" s="3"/>
      <c r="K44" s="3"/>
      <c r="L44" s="3"/>
      <c r="M44" s="3"/>
      <c r="N44" s="3"/>
      <c r="O44" s="3"/>
      <c r="S44" s="3"/>
      <c r="T44" s="3"/>
    </row>
    <row r="45" spans="6:20" ht="15.75" customHeight="1" x14ac:dyDescent="0.15">
      <c r="F45" s="3"/>
      <c r="G45" s="3"/>
      <c r="H45" s="3"/>
      <c r="I45" s="3"/>
      <c r="J45" s="3"/>
      <c r="K45" s="3"/>
      <c r="L45" s="3"/>
      <c r="M45" s="3"/>
      <c r="N45" s="3"/>
      <c r="O45" s="3"/>
      <c r="S45" s="3"/>
      <c r="T45" s="3"/>
    </row>
    <row r="46" spans="6:20" ht="15.75" customHeight="1" x14ac:dyDescent="0.15">
      <c r="F46" s="3"/>
      <c r="G46" s="3"/>
      <c r="H46" s="3"/>
      <c r="I46" s="3"/>
      <c r="J46" s="3"/>
      <c r="K46" s="3"/>
      <c r="L46" s="3"/>
      <c r="M46" s="3"/>
      <c r="N46" s="3"/>
      <c r="O46" s="3"/>
      <c r="S46" s="3"/>
      <c r="T46" s="3"/>
    </row>
    <row r="47" spans="6:20" ht="15.75" customHeight="1" x14ac:dyDescent="0.15">
      <c r="F47" s="3"/>
      <c r="G47" s="3"/>
      <c r="H47" s="3"/>
      <c r="I47" s="3"/>
      <c r="J47" s="3"/>
      <c r="K47" s="3"/>
      <c r="L47" s="3"/>
      <c r="M47" s="3"/>
      <c r="N47" s="3"/>
      <c r="O47" s="3"/>
      <c r="S47" s="3"/>
      <c r="T47" s="3"/>
    </row>
    <row r="48" spans="6:20" ht="15.75" customHeight="1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  <c r="S48" s="3"/>
      <c r="T48" s="3"/>
    </row>
    <row r="49" spans="6:20" ht="15.75" customHeight="1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  <c r="S49" s="3"/>
      <c r="T49" s="3"/>
    </row>
    <row r="50" spans="6:20" ht="15.75" customHeight="1" x14ac:dyDescent="0.15">
      <c r="F50" s="3"/>
      <c r="G50" s="3"/>
      <c r="H50" s="3"/>
      <c r="I50" s="3"/>
      <c r="J50" s="3"/>
      <c r="K50" s="3"/>
      <c r="L50" s="3"/>
      <c r="M50" s="3"/>
      <c r="N50" s="3"/>
      <c r="O50" s="3"/>
      <c r="S50" s="3"/>
      <c r="T50" s="3"/>
    </row>
    <row r="51" spans="6:20" ht="15.75" customHeight="1" x14ac:dyDescent="0.15">
      <c r="F51" s="3"/>
      <c r="G51" s="3"/>
      <c r="H51" s="3"/>
      <c r="I51" s="3"/>
      <c r="J51" s="3"/>
      <c r="K51" s="3"/>
      <c r="L51" s="3"/>
      <c r="M51" s="3"/>
      <c r="N51" s="3"/>
      <c r="O51" s="3"/>
      <c r="S51" s="3"/>
      <c r="T51" s="3"/>
    </row>
    <row r="52" spans="6:20" ht="15.75" customHeight="1" x14ac:dyDescent="0.15">
      <c r="F52" s="3"/>
      <c r="G52" s="3"/>
      <c r="H52" s="3"/>
      <c r="I52" s="3"/>
      <c r="J52" s="3"/>
      <c r="K52" s="3"/>
      <c r="L52" s="3"/>
      <c r="M52" s="3"/>
      <c r="N52" s="3"/>
      <c r="O52" s="3"/>
      <c r="S52" s="3"/>
      <c r="T52" s="3"/>
    </row>
    <row r="53" spans="6:20" ht="15.75" customHeight="1" x14ac:dyDescent="0.15">
      <c r="F53" s="3"/>
      <c r="G53" s="3"/>
      <c r="H53" s="3"/>
      <c r="I53" s="3"/>
      <c r="J53" s="3"/>
      <c r="K53" s="3"/>
      <c r="L53" s="3"/>
      <c r="M53" s="3"/>
      <c r="N53" s="3"/>
      <c r="O53" s="3"/>
      <c r="S53" s="3"/>
      <c r="T53" s="3"/>
    </row>
    <row r="54" spans="6:20" ht="15.75" customHeight="1" x14ac:dyDescent="0.15">
      <c r="F54" s="3"/>
      <c r="G54" s="3"/>
      <c r="H54" s="3"/>
      <c r="I54" s="3"/>
      <c r="J54" s="3"/>
      <c r="K54" s="3"/>
      <c r="L54" s="3"/>
      <c r="M54" s="3"/>
      <c r="N54" s="3"/>
      <c r="O54" s="3"/>
      <c r="S54" s="3"/>
      <c r="T54" s="3"/>
    </row>
    <row r="55" spans="6:20" ht="15.75" customHeight="1" x14ac:dyDescent="0.15">
      <c r="F55" s="3"/>
      <c r="G55" s="3"/>
      <c r="H55" s="3"/>
      <c r="I55" s="3"/>
      <c r="J55" s="3"/>
      <c r="K55" s="3"/>
      <c r="L55" s="3"/>
      <c r="M55" s="3"/>
      <c r="N55" s="3"/>
      <c r="O55" s="3"/>
      <c r="S55" s="3"/>
      <c r="T55" s="3"/>
    </row>
    <row r="56" spans="6:20" ht="15.75" customHeight="1" x14ac:dyDescent="0.15">
      <c r="F56" s="3"/>
      <c r="G56" s="3"/>
      <c r="H56" s="3"/>
      <c r="I56" s="3"/>
      <c r="J56" s="3"/>
      <c r="K56" s="3"/>
      <c r="L56" s="3"/>
      <c r="M56" s="3"/>
      <c r="N56" s="3"/>
      <c r="O56" s="3"/>
      <c r="S56" s="3"/>
      <c r="T56" s="3"/>
    </row>
    <row r="57" spans="6:20" ht="15.75" customHeight="1" x14ac:dyDescent="0.15">
      <c r="F57" s="3"/>
      <c r="G57" s="3"/>
      <c r="H57" s="3"/>
      <c r="I57" s="3"/>
      <c r="J57" s="3"/>
      <c r="K57" s="3"/>
      <c r="L57" s="3"/>
      <c r="M57" s="3"/>
      <c r="N57" s="3"/>
      <c r="O57" s="3"/>
      <c r="S57" s="3"/>
      <c r="T57" s="3"/>
    </row>
    <row r="58" spans="6:20" ht="15.75" customHeight="1" x14ac:dyDescent="0.15">
      <c r="F58" s="3"/>
      <c r="G58" s="3"/>
      <c r="H58" s="3"/>
      <c r="I58" s="3"/>
      <c r="J58" s="3"/>
      <c r="K58" s="3"/>
      <c r="L58" s="3"/>
      <c r="M58" s="3"/>
      <c r="N58" s="3"/>
      <c r="O58" s="3"/>
      <c r="S58" s="3"/>
      <c r="T58" s="3"/>
    </row>
    <row r="59" spans="6:20" ht="15.75" customHeight="1" x14ac:dyDescent="0.15">
      <c r="F59" s="3"/>
      <c r="G59" s="3"/>
      <c r="H59" s="3"/>
      <c r="I59" s="3"/>
      <c r="J59" s="3"/>
      <c r="K59" s="3"/>
      <c r="L59" s="3"/>
      <c r="M59" s="3"/>
      <c r="N59" s="3"/>
      <c r="O59" s="3"/>
      <c r="S59" s="3"/>
      <c r="T59" s="3"/>
    </row>
    <row r="60" spans="6:20" ht="15.75" customHeight="1" x14ac:dyDescent="0.15">
      <c r="F60" s="3"/>
      <c r="G60" s="3"/>
      <c r="H60" s="3"/>
      <c r="I60" s="3"/>
      <c r="J60" s="3"/>
      <c r="K60" s="3"/>
      <c r="L60" s="3"/>
      <c r="M60" s="3"/>
      <c r="N60" s="3"/>
      <c r="O60" s="3"/>
      <c r="S60" s="3"/>
      <c r="T60" s="3"/>
    </row>
    <row r="61" spans="6:20" ht="15.75" customHeight="1" x14ac:dyDescent="0.15">
      <c r="F61" s="3"/>
      <c r="G61" s="3"/>
      <c r="H61" s="3"/>
      <c r="I61" s="3"/>
      <c r="J61" s="3"/>
      <c r="K61" s="3"/>
      <c r="L61" s="3"/>
      <c r="M61" s="3"/>
      <c r="N61" s="3"/>
      <c r="O61" s="3"/>
      <c r="S61" s="3"/>
      <c r="T61" s="3"/>
    </row>
    <row r="62" spans="6:20" ht="15.75" customHeight="1" x14ac:dyDescent="0.15">
      <c r="F62" s="3"/>
      <c r="G62" s="3"/>
      <c r="H62" s="3"/>
      <c r="I62" s="3"/>
      <c r="J62" s="3"/>
      <c r="K62" s="3"/>
      <c r="L62" s="3"/>
      <c r="M62" s="3"/>
      <c r="N62" s="3"/>
      <c r="O62" s="3"/>
      <c r="S62" s="3"/>
      <c r="T62" s="3"/>
    </row>
    <row r="63" spans="6:20" ht="13" x14ac:dyDescent="0.15">
      <c r="F63" s="3"/>
      <c r="G63" s="3"/>
      <c r="H63" s="3"/>
      <c r="I63" s="3"/>
      <c r="J63" s="3"/>
      <c r="K63" s="3"/>
      <c r="L63" s="3"/>
      <c r="M63" s="3"/>
      <c r="N63" s="3"/>
      <c r="O63" s="3"/>
      <c r="S63" s="3"/>
      <c r="T63" s="3"/>
    </row>
    <row r="64" spans="6:20" ht="13" x14ac:dyDescent="0.15">
      <c r="F64" s="3"/>
      <c r="G64" s="3"/>
      <c r="H64" s="3"/>
      <c r="I64" s="3"/>
      <c r="J64" s="3"/>
      <c r="K64" s="3"/>
      <c r="L64" s="3"/>
      <c r="M64" s="3"/>
      <c r="N64" s="3"/>
      <c r="O64" s="3"/>
      <c r="S64" s="3"/>
      <c r="T64" s="3"/>
    </row>
    <row r="65" spans="6:20" ht="13" x14ac:dyDescent="0.15">
      <c r="F65" s="3"/>
      <c r="G65" s="3"/>
      <c r="H65" s="3"/>
      <c r="I65" s="3"/>
      <c r="J65" s="3"/>
      <c r="K65" s="3"/>
      <c r="L65" s="3"/>
      <c r="M65" s="3"/>
      <c r="N65" s="3"/>
      <c r="O65" s="3"/>
      <c r="S65" s="3"/>
      <c r="T65" s="3"/>
    </row>
    <row r="66" spans="6:20" ht="13" x14ac:dyDescent="0.15">
      <c r="F66" s="3"/>
      <c r="G66" s="3"/>
      <c r="H66" s="3"/>
      <c r="I66" s="3"/>
      <c r="J66" s="3"/>
      <c r="K66" s="3"/>
      <c r="L66" s="3"/>
      <c r="M66" s="3"/>
      <c r="N66" s="3"/>
      <c r="O66" s="3"/>
      <c r="S66" s="3"/>
      <c r="T66" s="3"/>
    </row>
    <row r="67" spans="6:20" ht="13" x14ac:dyDescent="0.15">
      <c r="F67" s="3"/>
      <c r="G67" s="3"/>
      <c r="H67" s="3"/>
      <c r="I67" s="3"/>
      <c r="J67" s="3"/>
      <c r="K67" s="3"/>
      <c r="L67" s="3"/>
      <c r="M67" s="3"/>
      <c r="N67" s="3"/>
      <c r="O67" s="3"/>
      <c r="S67" s="3"/>
      <c r="T67" s="3"/>
    </row>
    <row r="68" spans="6:20" ht="13" x14ac:dyDescent="0.15">
      <c r="F68" s="3"/>
      <c r="G68" s="3"/>
      <c r="H68" s="3"/>
      <c r="I68" s="3"/>
      <c r="J68" s="3"/>
      <c r="K68" s="3"/>
      <c r="L68" s="3"/>
      <c r="M68" s="3"/>
      <c r="N68" s="3"/>
      <c r="O68" s="3"/>
      <c r="S68" s="3"/>
      <c r="T68" s="3"/>
    </row>
    <row r="69" spans="6:20" ht="13" x14ac:dyDescent="0.15">
      <c r="F69" s="3"/>
      <c r="G69" s="3"/>
      <c r="H69" s="3"/>
      <c r="I69" s="3"/>
      <c r="J69" s="3"/>
      <c r="K69" s="3"/>
      <c r="L69" s="3"/>
      <c r="M69" s="3"/>
      <c r="N69" s="3"/>
      <c r="O69" s="3"/>
      <c r="S69" s="3"/>
      <c r="T69" s="3"/>
    </row>
    <row r="70" spans="6:20" ht="13" x14ac:dyDescent="0.15">
      <c r="F70" s="3"/>
      <c r="G70" s="3"/>
      <c r="H70" s="3"/>
      <c r="I70" s="3"/>
      <c r="J70" s="3"/>
      <c r="K70" s="3"/>
      <c r="L70" s="3"/>
      <c r="M70" s="3"/>
      <c r="N70" s="3"/>
      <c r="O70" s="3"/>
      <c r="S70" s="3"/>
      <c r="T70" s="3"/>
    </row>
    <row r="71" spans="6:20" ht="13" x14ac:dyDescent="0.15">
      <c r="F71" s="3"/>
      <c r="G71" s="3"/>
      <c r="H71" s="3"/>
      <c r="I71" s="3"/>
      <c r="J71" s="3"/>
      <c r="K71" s="3"/>
      <c r="L71" s="3"/>
      <c r="M71" s="3"/>
      <c r="N71" s="3"/>
      <c r="O71" s="3"/>
      <c r="S71" s="3"/>
      <c r="T71" s="3"/>
    </row>
    <row r="72" spans="6:20" ht="13" x14ac:dyDescent="0.15">
      <c r="F72" s="3"/>
      <c r="G72" s="3"/>
      <c r="H72" s="3"/>
      <c r="I72" s="3"/>
      <c r="J72" s="3"/>
      <c r="K72" s="3"/>
      <c r="L72" s="3"/>
      <c r="M72" s="3"/>
      <c r="N72" s="3"/>
      <c r="O72" s="3"/>
      <c r="S72" s="3"/>
      <c r="T72" s="3"/>
    </row>
    <row r="73" spans="6:20" ht="13" x14ac:dyDescent="0.15">
      <c r="F73" s="3"/>
      <c r="G73" s="3"/>
      <c r="H73" s="3"/>
      <c r="I73" s="3"/>
      <c r="J73" s="3"/>
      <c r="K73" s="3"/>
      <c r="L73" s="3"/>
      <c r="M73" s="3"/>
      <c r="N73" s="3"/>
      <c r="O73" s="3"/>
      <c r="S73" s="3"/>
      <c r="T73" s="3"/>
    </row>
    <row r="74" spans="6:20" ht="13" x14ac:dyDescent="0.15">
      <c r="F74" s="3"/>
      <c r="G74" s="3"/>
      <c r="H74" s="3"/>
      <c r="I74" s="3"/>
      <c r="J74" s="3"/>
      <c r="K74" s="3"/>
      <c r="L74" s="3"/>
      <c r="M74" s="3"/>
      <c r="N74" s="3"/>
      <c r="O74" s="3"/>
      <c r="S74" s="3"/>
      <c r="T74" s="3"/>
    </row>
    <row r="75" spans="6:20" ht="13" x14ac:dyDescent="0.15">
      <c r="F75" s="3"/>
      <c r="G75" s="3"/>
      <c r="H75" s="3"/>
      <c r="I75" s="3"/>
      <c r="J75" s="3"/>
      <c r="K75" s="3"/>
      <c r="L75" s="3"/>
      <c r="M75" s="3"/>
      <c r="N75" s="3"/>
      <c r="O75" s="3"/>
      <c r="S75" s="3"/>
      <c r="T75" s="3"/>
    </row>
    <row r="76" spans="6:20" ht="13" x14ac:dyDescent="0.15">
      <c r="F76" s="3"/>
      <c r="G76" s="3"/>
      <c r="H76" s="3"/>
      <c r="I76" s="3"/>
      <c r="J76" s="3"/>
      <c r="K76" s="3"/>
      <c r="L76" s="3"/>
      <c r="M76" s="3"/>
      <c r="N76" s="3"/>
      <c r="O76" s="3"/>
      <c r="S76" s="3"/>
      <c r="T76" s="3"/>
    </row>
    <row r="77" spans="6:20" ht="13" x14ac:dyDescent="0.15">
      <c r="F77" s="3"/>
      <c r="G77" s="3"/>
      <c r="H77" s="3"/>
      <c r="I77" s="3"/>
      <c r="J77" s="3"/>
      <c r="K77" s="3"/>
      <c r="L77" s="3"/>
      <c r="M77" s="3"/>
      <c r="N77" s="3"/>
      <c r="O77" s="3"/>
      <c r="S77" s="3"/>
      <c r="T77" s="3"/>
    </row>
    <row r="78" spans="6:20" ht="13" x14ac:dyDescent="0.15">
      <c r="F78" s="3"/>
      <c r="G78" s="3"/>
      <c r="H78" s="3"/>
      <c r="I78" s="3"/>
      <c r="J78" s="3"/>
      <c r="K78" s="3"/>
      <c r="L78" s="3"/>
      <c r="M78" s="3"/>
      <c r="N78" s="3"/>
      <c r="O78" s="3"/>
      <c r="S78" s="3"/>
      <c r="T78" s="3"/>
    </row>
    <row r="79" spans="6:20" ht="13" x14ac:dyDescent="0.15">
      <c r="F79" s="3"/>
      <c r="G79" s="3"/>
      <c r="H79" s="3"/>
      <c r="I79" s="3"/>
      <c r="J79" s="3"/>
      <c r="K79" s="3"/>
      <c r="L79" s="3"/>
      <c r="M79" s="3"/>
      <c r="N79" s="3"/>
      <c r="O79" s="3"/>
      <c r="S79" s="3"/>
      <c r="T79" s="3"/>
    </row>
    <row r="80" spans="6:20" ht="13" x14ac:dyDescent="0.15">
      <c r="F80" s="3"/>
      <c r="G80" s="3"/>
      <c r="H80" s="3"/>
      <c r="I80" s="3"/>
      <c r="J80" s="3"/>
      <c r="K80" s="3"/>
      <c r="L80" s="3"/>
      <c r="M80" s="3"/>
      <c r="N80" s="3"/>
      <c r="O80" s="3"/>
      <c r="S80" s="3"/>
      <c r="T80" s="3"/>
    </row>
    <row r="81" spans="6:20" ht="13" x14ac:dyDescent="0.15">
      <c r="F81" s="3"/>
      <c r="G81" s="3"/>
      <c r="H81" s="3"/>
      <c r="I81" s="3"/>
      <c r="J81" s="3"/>
      <c r="K81" s="3"/>
      <c r="L81" s="3"/>
      <c r="M81" s="3"/>
      <c r="N81" s="3"/>
      <c r="O81" s="3"/>
      <c r="S81" s="3"/>
      <c r="T81" s="3"/>
    </row>
    <row r="82" spans="6:20" ht="13" x14ac:dyDescent="0.15">
      <c r="F82" s="3"/>
      <c r="G82" s="3"/>
      <c r="H82" s="3"/>
      <c r="I82" s="3"/>
      <c r="J82" s="3"/>
      <c r="K82" s="3"/>
      <c r="L82" s="3"/>
      <c r="M82" s="3"/>
      <c r="N82" s="3"/>
      <c r="O82" s="3"/>
      <c r="S82" s="3"/>
      <c r="T82" s="3"/>
    </row>
    <row r="83" spans="6:20" ht="13" x14ac:dyDescent="0.15">
      <c r="F83" s="3"/>
      <c r="G83" s="3"/>
      <c r="H83" s="3"/>
      <c r="I83" s="3"/>
      <c r="J83" s="3"/>
      <c r="K83" s="3"/>
      <c r="L83" s="3"/>
      <c r="M83" s="3"/>
      <c r="N83" s="3"/>
      <c r="O83" s="3"/>
      <c r="S83" s="3"/>
      <c r="T83" s="3"/>
    </row>
    <row r="84" spans="6:20" ht="13" x14ac:dyDescent="0.15">
      <c r="F84" s="3"/>
      <c r="G84" s="3"/>
      <c r="H84" s="3"/>
      <c r="I84" s="3"/>
      <c r="J84" s="3"/>
      <c r="K84" s="3"/>
      <c r="L84" s="3"/>
      <c r="M84" s="3"/>
      <c r="N84" s="3"/>
      <c r="O84" s="3"/>
      <c r="S84" s="3"/>
      <c r="T84" s="3"/>
    </row>
    <row r="85" spans="6:20" ht="13" x14ac:dyDescent="0.15">
      <c r="F85" s="3"/>
      <c r="G85" s="3"/>
      <c r="H85" s="3"/>
      <c r="I85" s="3"/>
      <c r="J85" s="3"/>
      <c r="K85" s="3"/>
      <c r="L85" s="3"/>
      <c r="M85" s="3"/>
      <c r="N85" s="3"/>
      <c r="O85" s="3"/>
      <c r="S85" s="3"/>
      <c r="T85" s="3"/>
    </row>
    <row r="86" spans="6:20" ht="13" x14ac:dyDescent="0.15">
      <c r="F86" s="3"/>
      <c r="G86" s="3"/>
      <c r="H86" s="3"/>
      <c r="I86" s="3"/>
      <c r="J86" s="3"/>
      <c r="K86" s="3"/>
      <c r="L86" s="3"/>
      <c r="M86" s="3"/>
      <c r="N86" s="3"/>
      <c r="O86" s="3"/>
      <c r="S86" s="3"/>
      <c r="T86" s="3"/>
    </row>
    <row r="87" spans="6:20" ht="13" x14ac:dyDescent="0.15">
      <c r="F87" s="3"/>
      <c r="G87" s="3"/>
      <c r="H87" s="3"/>
      <c r="I87" s="3"/>
      <c r="J87" s="3"/>
      <c r="K87" s="3"/>
      <c r="L87" s="3"/>
      <c r="M87" s="3"/>
      <c r="N87" s="3"/>
      <c r="O87" s="3"/>
      <c r="S87" s="3"/>
      <c r="T87" s="3"/>
    </row>
    <row r="88" spans="6:20" ht="13" x14ac:dyDescent="0.15">
      <c r="F88" s="3"/>
      <c r="G88" s="3"/>
      <c r="H88" s="3"/>
      <c r="I88" s="3"/>
      <c r="J88" s="3"/>
      <c r="K88" s="3"/>
      <c r="L88" s="3"/>
      <c r="M88" s="3"/>
      <c r="N88" s="3"/>
      <c r="O88" s="3"/>
      <c r="S88" s="3"/>
      <c r="T88" s="3"/>
    </row>
    <row r="89" spans="6:20" ht="13" x14ac:dyDescent="0.15">
      <c r="F89" s="3"/>
      <c r="G89" s="3"/>
      <c r="H89" s="3"/>
      <c r="I89" s="3"/>
      <c r="J89" s="3"/>
      <c r="K89" s="3"/>
      <c r="L89" s="3"/>
      <c r="M89" s="3"/>
      <c r="N89" s="3"/>
      <c r="O89" s="3"/>
      <c r="S89" s="3"/>
      <c r="T89" s="3"/>
    </row>
    <row r="90" spans="6:20" ht="13" x14ac:dyDescent="0.15">
      <c r="F90" s="3"/>
      <c r="G90" s="3"/>
      <c r="H90" s="3"/>
      <c r="I90" s="3"/>
      <c r="J90" s="3"/>
      <c r="K90" s="3"/>
      <c r="L90" s="3"/>
      <c r="M90" s="3"/>
      <c r="N90" s="3"/>
      <c r="O90" s="3"/>
      <c r="S90" s="3"/>
      <c r="T90" s="3"/>
    </row>
    <row r="91" spans="6:20" ht="13" x14ac:dyDescent="0.15">
      <c r="F91" s="3"/>
      <c r="G91" s="3"/>
      <c r="H91" s="3"/>
      <c r="I91" s="3"/>
      <c r="J91" s="3"/>
      <c r="K91" s="3"/>
      <c r="L91" s="3"/>
      <c r="M91" s="3"/>
      <c r="N91" s="3"/>
      <c r="O91" s="3"/>
      <c r="S91" s="3"/>
      <c r="T91" s="3"/>
    </row>
    <row r="92" spans="6:20" ht="13" x14ac:dyDescent="0.15">
      <c r="F92" s="3"/>
      <c r="G92" s="3"/>
      <c r="H92" s="3"/>
      <c r="I92" s="3"/>
      <c r="J92" s="3"/>
      <c r="K92" s="3"/>
      <c r="L92" s="3"/>
      <c r="M92" s="3"/>
      <c r="N92" s="3"/>
      <c r="O92" s="3"/>
      <c r="S92" s="3"/>
      <c r="T92" s="3"/>
    </row>
    <row r="93" spans="6:20" ht="13" x14ac:dyDescent="0.15">
      <c r="F93" s="3"/>
      <c r="G93" s="3"/>
      <c r="H93" s="3"/>
      <c r="I93" s="3"/>
      <c r="J93" s="3"/>
      <c r="K93" s="3"/>
      <c r="L93" s="3"/>
      <c r="M93" s="3"/>
      <c r="N93" s="3"/>
      <c r="O93" s="3"/>
      <c r="S93" s="3"/>
      <c r="T93" s="3"/>
    </row>
    <row r="94" spans="6:20" ht="13" x14ac:dyDescent="0.15">
      <c r="F94" s="3"/>
      <c r="G94" s="3"/>
      <c r="H94" s="3"/>
      <c r="I94" s="3"/>
      <c r="J94" s="3"/>
      <c r="K94" s="3"/>
      <c r="L94" s="3"/>
      <c r="M94" s="3"/>
      <c r="N94" s="3"/>
      <c r="O94" s="3"/>
      <c r="S94" s="3"/>
      <c r="T94" s="3"/>
    </row>
    <row r="95" spans="6:20" ht="13" x14ac:dyDescent="0.15">
      <c r="F95" s="3"/>
      <c r="G95" s="3"/>
      <c r="H95" s="3"/>
      <c r="I95" s="3"/>
      <c r="J95" s="3"/>
      <c r="K95" s="3"/>
      <c r="L95" s="3"/>
      <c r="M95" s="3"/>
      <c r="N95" s="3"/>
      <c r="O95" s="3"/>
      <c r="S95" s="3"/>
      <c r="T95" s="3"/>
    </row>
    <row r="96" spans="6:20" ht="13" x14ac:dyDescent="0.15">
      <c r="F96" s="3"/>
      <c r="G96" s="3"/>
      <c r="H96" s="3"/>
      <c r="I96" s="3"/>
      <c r="J96" s="3"/>
      <c r="K96" s="3"/>
      <c r="L96" s="3"/>
      <c r="M96" s="3"/>
      <c r="N96" s="3"/>
      <c r="O96" s="3"/>
      <c r="S96" s="3"/>
      <c r="T96" s="3"/>
    </row>
    <row r="97" spans="6:20" ht="13" x14ac:dyDescent="0.15">
      <c r="F97" s="3"/>
      <c r="G97" s="3"/>
      <c r="H97" s="3"/>
      <c r="I97" s="3"/>
      <c r="J97" s="3"/>
      <c r="K97" s="3"/>
      <c r="L97" s="3"/>
      <c r="M97" s="3"/>
      <c r="N97" s="3"/>
      <c r="O97" s="3"/>
      <c r="S97" s="3"/>
      <c r="T97" s="3"/>
    </row>
    <row r="98" spans="6:20" ht="13" x14ac:dyDescent="0.15">
      <c r="F98" s="3"/>
      <c r="G98" s="3"/>
      <c r="H98" s="3"/>
      <c r="I98" s="3"/>
      <c r="J98" s="3"/>
      <c r="K98" s="3"/>
      <c r="L98" s="3"/>
      <c r="M98" s="3"/>
      <c r="N98" s="3"/>
      <c r="O98" s="3"/>
      <c r="S98" s="3"/>
      <c r="T98" s="3"/>
    </row>
    <row r="99" spans="6:20" ht="13" x14ac:dyDescent="0.15">
      <c r="F99" s="3"/>
      <c r="G99" s="3"/>
      <c r="H99" s="3"/>
      <c r="I99" s="3"/>
      <c r="J99" s="3"/>
      <c r="K99" s="3"/>
      <c r="L99" s="3"/>
      <c r="M99" s="3"/>
      <c r="N99" s="3"/>
      <c r="O99" s="3"/>
      <c r="S99" s="3"/>
      <c r="T99" s="3"/>
    </row>
    <row r="100" spans="6:20" ht="13" x14ac:dyDescent="0.15">
      <c r="F100" s="3"/>
      <c r="G100" s="3"/>
      <c r="H100" s="3"/>
      <c r="I100" s="3"/>
      <c r="J100" s="3"/>
      <c r="K100" s="3"/>
      <c r="L100" s="3"/>
      <c r="M100" s="3"/>
      <c r="N100" s="3"/>
      <c r="O100" s="3"/>
      <c r="S100" s="3"/>
      <c r="T100" s="3"/>
    </row>
    <row r="101" spans="6:20" ht="13" x14ac:dyDescent="0.15">
      <c r="F101" s="3"/>
      <c r="G101" s="3"/>
      <c r="H101" s="3"/>
      <c r="I101" s="3"/>
      <c r="J101" s="3"/>
      <c r="K101" s="3"/>
      <c r="L101" s="3"/>
      <c r="M101" s="3"/>
      <c r="N101" s="3"/>
      <c r="O101" s="3"/>
      <c r="S101" s="3"/>
      <c r="T101" s="3"/>
    </row>
    <row r="102" spans="6:20" ht="13" x14ac:dyDescent="0.15">
      <c r="F102" s="3"/>
      <c r="G102" s="3"/>
      <c r="H102" s="3"/>
      <c r="I102" s="3"/>
      <c r="J102" s="3"/>
      <c r="K102" s="3"/>
      <c r="L102" s="3"/>
      <c r="M102" s="3"/>
      <c r="N102" s="3"/>
      <c r="O102" s="3"/>
      <c r="S102" s="3"/>
      <c r="T102" s="3"/>
    </row>
    <row r="103" spans="6:20" ht="13" x14ac:dyDescent="0.15">
      <c r="F103" s="3"/>
      <c r="G103" s="3"/>
      <c r="H103" s="3"/>
      <c r="I103" s="3"/>
      <c r="J103" s="3"/>
      <c r="K103" s="3"/>
      <c r="L103" s="3"/>
      <c r="M103" s="3"/>
      <c r="N103" s="3"/>
      <c r="O103" s="3"/>
      <c r="S103" s="3"/>
      <c r="T103" s="3"/>
    </row>
    <row r="104" spans="6:20" ht="13" x14ac:dyDescent="0.15">
      <c r="F104" s="3"/>
      <c r="G104" s="3"/>
      <c r="H104" s="3"/>
      <c r="I104" s="3"/>
      <c r="J104" s="3"/>
      <c r="K104" s="3"/>
      <c r="L104" s="3"/>
      <c r="M104" s="3"/>
      <c r="N104" s="3"/>
      <c r="O104" s="3"/>
      <c r="S104" s="3"/>
      <c r="T104" s="3"/>
    </row>
    <row r="105" spans="6:20" ht="13" x14ac:dyDescent="0.15">
      <c r="F105" s="3"/>
      <c r="G105" s="3"/>
      <c r="H105" s="3"/>
      <c r="I105" s="3"/>
      <c r="J105" s="3"/>
      <c r="K105" s="3"/>
      <c r="L105" s="3"/>
      <c r="M105" s="3"/>
      <c r="N105" s="3"/>
      <c r="O105" s="3"/>
      <c r="S105" s="3"/>
      <c r="T105" s="3"/>
    </row>
    <row r="106" spans="6:20" ht="13" x14ac:dyDescent="0.15">
      <c r="F106" s="3"/>
      <c r="G106" s="3"/>
      <c r="H106" s="3"/>
      <c r="I106" s="3"/>
      <c r="J106" s="3"/>
      <c r="K106" s="3"/>
      <c r="L106" s="3"/>
      <c r="M106" s="3"/>
      <c r="N106" s="3"/>
      <c r="O106" s="3"/>
      <c r="S106" s="3"/>
      <c r="T106" s="3"/>
    </row>
    <row r="107" spans="6:20" ht="13" x14ac:dyDescent="0.15">
      <c r="F107" s="3"/>
      <c r="G107" s="3"/>
      <c r="H107" s="3"/>
      <c r="I107" s="3"/>
      <c r="J107" s="3"/>
      <c r="K107" s="3"/>
      <c r="L107" s="3"/>
      <c r="M107" s="3"/>
      <c r="N107" s="3"/>
      <c r="O107" s="3"/>
      <c r="S107" s="3"/>
      <c r="T107" s="3"/>
    </row>
    <row r="108" spans="6:20" ht="13" x14ac:dyDescent="0.15">
      <c r="F108" s="3"/>
      <c r="G108" s="3"/>
      <c r="H108" s="3"/>
      <c r="I108" s="3"/>
      <c r="J108" s="3"/>
      <c r="K108" s="3"/>
      <c r="L108" s="3"/>
      <c r="M108" s="3"/>
      <c r="N108" s="3"/>
      <c r="O108" s="3"/>
      <c r="S108" s="3"/>
      <c r="T108" s="3"/>
    </row>
    <row r="109" spans="6:20" ht="13" x14ac:dyDescent="0.15">
      <c r="F109" s="3"/>
      <c r="G109" s="3"/>
      <c r="H109" s="3"/>
      <c r="I109" s="3"/>
      <c r="J109" s="3"/>
      <c r="K109" s="3"/>
      <c r="L109" s="3"/>
      <c r="M109" s="3"/>
      <c r="N109" s="3"/>
      <c r="O109" s="3"/>
      <c r="S109" s="3"/>
      <c r="T109" s="3"/>
    </row>
    <row r="110" spans="6:20" ht="13" x14ac:dyDescent="0.15">
      <c r="F110" s="3"/>
      <c r="G110" s="3"/>
      <c r="H110" s="3"/>
      <c r="I110" s="3"/>
      <c r="J110" s="3"/>
      <c r="K110" s="3"/>
      <c r="L110" s="3"/>
      <c r="M110" s="3"/>
      <c r="N110" s="3"/>
      <c r="O110" s="3"/>
      <c r="S110" s="3"/>
      <c r="T110" s="3"/>
    </row>
    <row r="111" spans="6:20" ht="13" x14ac:dyDescent="0.15">
      <c r="F111" s="3"/>
      <c r="G111" s="3"/>
      <c r="H111" s="3"/>
      <c r="I111" s="3"/>
      <c r="J111" s="3"/>
      <c r="K111" s="3"/>
      <c r="L111" s="3"/>
      <c r="M111" s="3"/>
      <c r="N111" s="3"/>
      <c r="O111" s="3"/>
      <c r="S111" s="3"/>
      <c r="T111" s="3"/>
    </row>
    <row r="112" spans="6:20" ht="13" x14ac:dyDescent="0.15">
      <c r="F112" s="3"/>
      <c r="G112" s="3"/>
      <c r="H112" s="3"/>
      <c r="I112" s="3"/>
      <c r="J112" s="3"/>
      <c r="K112" s="3"/>
      <c r="L112" s="3"/>
      <c r="M112" s="3"/>
      <c r="N112" s="3"/>
      <c r="O112" s="3"/>
      <c r="S112" s="3"/>
      <c r="T112" s="3"/>
    </row>
    <row r="113" spans="6:20" ht="13" x14ac:dyDescent="0.15">
      <c r="F113" s="3"/>
      <c r="G113" s="3"/>
      <c r="H113" s="3"/>
      <c r="I113" s="3"/>
      <c r="J113" s="3"/>
      <c r="K113" s="3"/>
      <c r="L113" s="3"/>
      <c r="M113" s="3"/>
      <c r="N113" s="3"/>
      <c r="O113" s="3"/>
      <c r="S113" s="3"/>
      <c r="T113" s="3"/>
    </row>
    <row r="114" spans="6:20" ht="13" x14ac:dyDescent="0.15">
      <c r="F114" s="3"/>
      <c r="G114" s="3"/>
      <c r="H114" s="3"/>
      <c r="I114" s="3"/>
      <c r="J114" s="3"/>
      <c r="K114" s="3"/>
      <c r="L114" s="3"/>
      <c r="M114" s="3"/>
      <c r="N114" s="3"/>
      <c r="O114" s="3"/>
      <c r="S114" s="3"/>
      <c r="T114" s="3"/>
    </row>
    <row r="115" spans="6:20" ht="13" x14ac:dyDescent="0.15">
      <c r="F115" s="3"/>
      <c r="G115" s="3"/>
      <c r="H115" s="3"/>
      <c r="I115" s="3"/>
      <c r="J115" s="3"/>
      <c r="K115" s="3"/>
      <c r="L115" s="3"/>
      <c r="M115" s="3"/>
      <c r="N115" s="3"/>
      <c r="O115" s="3"/>
      <c r="S115" s="3"/>
      <c r="T115" s="3"/>
    </row>
    <row r="116" spans="6:20" ht="13" x14ac:dyDescent="0.15">
      <c r="F116" s="3"/>
      <c r="G116" s="3"/>
      <c r="H116" s="3"/>
      <c r="I116" s="3"/>
      <c r="J116" s="3"/>
      <c r="K116" s="3"/>
      <c r="L116" s="3"/>
      <c r="M116" s="3"/>
      <c r="N116" s="3"/>
      <c r="O116" s="3"/>
      <c r="S116" s="3"/>
      <c r="T116" s="3"/>
    </row>
    <row r="117" spans="6:20" ht="13" x14ac:dyDescent="0.15">
      <c r="F117" s="3"/>
      <c r="G117" s="3"/>
      <c r="H117" s="3"/>
      <c r="I117" s="3"/>
      <c r="J117" s="3"/>
      <c r="K117" s="3"/>
      <c r="L117" s="3"/>
      <c r="M117" s="3"/>
      <c r="N117" s="3"/>
      <c r="O117" s="3"/>
      <c r="S117" s="3"/>
      <c r="T117" s="3"/>
    </row>
    <row r="118" spans="6:20" ht="13" x14ac:dyDescent="0.15">
      <c r="F118" s="3"/>
      <c r="G118" s="3"/>
      <c r="H118" s="3"/>
      <c r="I118" s="3"/>
      <c r="J118" s="3"/>
      <c r="K118" s="3"/>
      <c r="L118" s="3"/>
      <c r="M118" s="3"/>
      <c r="N118" s="3"/>
      <c r="O118" s="3"/>
      <c r="S118" s="3"/>
      <c r="T118" s="3"/>
    </row>
    <row r="119" spans="6:20" ht="13" x14ac:dyDescent="0.15">
      <c r="F119" s="3"/>
      <c r="G119" s="3"/>
      <c r="H119" s="3"/>
      <c r="I119" s="3"/>
      <c r="J119" s="3"/>
      <c r="K119" s="3"/>
      <c r="L119" s="3"/>
      <c r="M119" s="3"/>
      <c r="N119" s="3"/>
      <c r="O119" s="3"/>
      <c r="S119" s="3"/>
      <c r="T119" s="3"/>
    </row>
    <row r="120" spans="6:20" ht="13" x14ac:dyDescent="0.15">
      <c r="F120" s="3"/>
      <c r="G120" s="3"/>
      <c r="H120" s="3"/>
      <c r="I120" s="3"/>
      <c r="J120" s="3"/>
      <c r="K120" s="3"/>
      <c r="L120" s="3"/>
      <c r="M120" s="3"/>
      <c r="N120" s="3"/>
      <c r="O120" s="3"/>
      <c r="S120" s="3"/>
      <c r="T120" s="3"/>
    </row>
    <row r="121" spans="6:20" ht="13" x14ac:dyDescent="0.15">
      <c r="F121" s="3"/>
      <c r="G121" s="3"/>
      <c r="H121" s="3"/>
      <c r="I121" s="3"/>
      <c r="J121" s="3"/>
      <c r="K121" s="3"/>
      <c r="L121" s="3"/>
      <c r="M121" s="3"/>
      <c r="N121" s="3"/>
      <c r="O121" s="3"/>
      <c r="S121" s="3"/>
      <c r="T121" s="3"/>
    </row>
    <row r="122" spans="6:20" ht="13" x14ac:dyDescent="0.15">
      <c r="F122" s="3"/>
      <c r="G122" s="3"/>
      <c r="H122" s="3"/>
      <c r="I122" s="3"/>
      <c r="J122" s="3"/>
      <c r="K122" s="3"/>
      <c r="L122" s="3"/>
      <c r="M122" s="3"/>
      <c r="N122" s="3"/>
      <c r="O122" s="3"/>
      <c r="S122" s="3"/>
      <c r="T122" s="3"/>
    </row>
    <row r="123" spans="6:20" ht="13" x14ac:dyDescent="0.15">
      <c r="F123" s="3"/>
      <c r="G123" s="3"/>
      <c r="H123" s="3"/>
      <c r="I123" s="3"/>
      <c r="J123" s="3"/>
      <c r="K123" s="3"/>
      <c r="L123" s="3"/>
      <c r="M123" s="3"/>
      <c r="N123" s="3"/>
      <c r="O123" s="3"/>
      <c r="S123" s="3"/>
      <c r="T123" s="3"/>
    </row>
    <row r="124" spans="6:20" ht="13" x14ac:dyDescent="0.15">
      <c r="F124" s="3"/>
      <c r="G124" s="3"/>
      <c r="H124" s="3"/>
      <c r="I124" s="3"/>
      <c r="J124" s="3"/>
      <c r="K124" s="3"/>
      <c r="L124" s="3"/>
      <c r="M124" s="3"/>
      <c r="N124" s="3"/>
      <c r="O124" s="3"/>
      <c r="S124" s="3"/>
      <c r="T124" s="3"/>
    </row>
    <row r="125" spans="6:20" ht="13" x14ac:dyDescent="0.15">
      <c r="F125" s="3"/>
      <c r="G125" s="3"/>
      <c r="H125" s="3"/>
      <c r="I125" s="3"/>
      <c r="J125" s="3"/>
      <c r="K125" s="3"/>
      <c r="L125" s="3"/>
      <c r="M125" s="3"/>
      <c r="N125" s="3"/>
      <c r="O125" s="3"/>
      <c r="S125" s="3"/>
      <c r="T125" s="3"/>
    </row>
    <row r="126" spans="6:20" ht="13" x14ac:dyDescent="0.15">
      <c r="F126" s="3"/>
      <c r="G126" s="3"/>
      <c r="H126" s="3"/>
      <c r="I126" s="3"/>
      <c r="J126" s="3"/>
      <c r="K126" s="3"/>
      <c r="L126" s="3"/>
      <c r="M126" s="3"/>
      <c r="N126" s="3"/>
      <c r="O126" s="3"/>
      <c r="S126" s="3"/>
      <c r="T126" s="3"/>
    </row>
    <row r="127" spans="6:20" ht="13" x14ac:dyDescent="0.15">
      <c r="F127" s="3"/>
      <c r="G127" s="3"/>
      <c r="H127" s="3"/>
      <c r="I127" s="3"/>
      <c r="J127" s="3"/>
      <c r="K127" s="3"/>
      <c r="L127" s="3"/>
      <c r="M127" s="3"/>
      <c r="N127" s="3"/>
      <c r="O127" s="3"/>
      <c r="S127" s="3"/>
      <c r="T127" s="3"/>
    </row>
    <row r="128" spans="6:20" ht="13" x14ac:dyDescent="0.15">
      <c r="F128" s="3"/>
      <c r="G128" s="3"/>
      <c r="H128" s="3"/>
      <c r="I128" s="3"/>
      <c r="J128" s="3"/>
      <c r="K128" s="3"/>
      <c r="L128" s="3"/>
      <c r="M128" s="3"/>
      <c r="N128" s="3"/>
      <c r="O128" s="3"/>
      <c r="S128" s="3"/>
      <c r="T128" s="3"/>
    </row>
    <row r="129" spans="6:20" ht="13" x14ac:dyDescent="0.15">
      <c r="F129" s="3"/>
      <c r="G129" s="3"/>
      <c r="H129" s="3"/>
      <c r="I129" s="3"/>
      <c r="J129" s="3"/>
      <c r="K129" s="3"/>
      <c r="L129" s="3"/>
      <c r="M129" s="3"/>
      <c r="N129" s="3"/>
      <c r="O129" s="3"/>
      <c r="S129" s="3"/>
      <c r="T129" s="3"/>
    </row>
    <row r="130" spans="6:20" ht="13" x14ac:dyDescent="0.15">
      <c r="F130" s="3"/>
      <c r="G130" s="3"/>
      <c r="H130" s="3"/>
      <c r="I130" s="3"/>
      <c r="J130" s="3"/>
      <c r="K130" s="3"/>
      <c r="L130" s="3"/>
      <c r="M130" s="3"/>
      <c r="N130" s="3"/>
      <c r="O130" s="3"/>
      <c r="S130" s="3"/>
      <c r="T130" s="3"/>
    </row>
    <row r="131" spans="6:20" ht="13" x14ac:dyDescent="0.15">
      <c r="F131" s="3"/>
      <c r="G131" s="3"/>
      <c r="H131" s="3"/>
      <c r="I131" s="3"/>
      <c r="J131" s="3"/>
      <c r="K131" s="3"/>
      <c r="L131" s="3"/>
      <c r="M131" s="3"/>
      <c r="N131" s="3"/>
      <c r="O131" s="3"/>
      <c r="S131" s="3"/>
      <c r="T131" s="3"/>
    </row>
    <row r="132" spans="6:20" ht="13" x14ac:dyDescent="0.15">
      <c r="F132" s="3"/>
      <c r="G132" s="3"/>
      <c r="H132" s="3"/>
      <c r="I132" s="3"/>
      <c r="J132" s="3"/>
      <c r="K132" s="3"/>
      <c r="L132" s="3"/>
      <c r="M132" s="3"/>
      <c r="N132" s="3"/>
      <c r="O132" s="3"/>
      <c r="S132" s="3"/>
      <c r="T132" s="3"/>
    </row>
    <row r="133" spans="6:20" ht="13" x14ac:dyDescent="0.15">
      <c r="F133" s="3"/>
      <c r="G133" s="3"/>
      <c r="H133" s="3"/>
      <c r="I133" s="3"/>
      <c r="J133" s="3"/>
      <c r="K133" s="3"/>
      <c r="L133" s="3"/>
      <c r="M133" s="3"/>
      <c r="N133" s="3"/>
      <c r="O133" s="3"/>
      <c r="S133" s="3"/>
      <c r="T133" s="3"/>
    </row>
    <row r="134" spans="6:20" ht="13" x14ac:dyDescent="0.15">
      <c r="F134" s="3"/>
      <c r="G134" s="3"/>
      <c r="H134" s="3"/>
      <c r="I134" s="3"/>
      <c r="J134" s="3"/>
      <c r="K134" s="3"/>
      <c r="L134" s="3"/>
      <c r="M134" s="3"/>
      <c r="N134" s="3"/>
      <c r="O134" s="3"/>
      <c r="S134" s="3"/>
      <c r="T134" s="3"/>
    </row>
    <row r="135" spans="6:20" ht="13" x14ac:dyDescent="0.15">
      <c r="F135" s="3"/>
      <c r="G135" s="3"/>
      <c r="H135" s="3"/>
      <c r="I135" s="3"/>
      <c r="J135" s="3"/>
      <c r="K135" s="3"/>
      <c r="L135" s="3"/>
      <c r="M135" s="3"/>
      <c r="N135" s="3"/>
      <c r="O135" s="3"/>
      <c r="S135" s="3"/>
      <c r="T135" s="3"/>
    </row>
    <row r="136" spans="6:20" ht="13" x14ac:dyDescent="0.15">
      <c r="F136" s="3"/>
      <c r="G136" s="3"/>
      <c r="H136" s="3"/>
      <c r="I136" s="3"/>
      <c r="J136" s="3"/>
      <c r="K136" s="3"/>
      <c r="L136" s="3"/>
      <c r="M136" s="3"/>
      <c r="N136" s="3"/>
      <c r="O136" s="3"/>
      <c r="S136" s="3"/>
      <c r="T136" s="3"/>
    </row>
    <row r="137" spans="6:20" ht="13" x14ac:dyDescent="0.15">
      <c r="F137" s="3"/>
      <c r="G137" s="3"/>
      <c r="H137" s="3"/>
      <c r="I137" s="3"/>
      <c r="J137" s="3"/>
      <c r="K137" s="3"/>
      <c r="L137" s="3"/>
      <c r="M137" s="3"/>
      <c r="N137" s="3"/>
      <c r="O137" s="3"/>
      <c r="S137" s="3"/>
      <c r="T137" s="3"/>
    </row>
    <row r="138" spans="6:20" ht="13" x14ac:dyDescent="0.15">
      <c r="F138" s="3"/>
      <c r="G138" s="3"/>
      <c r="H138" s="3"/>
      <c r="I138" s="3"/>
      <c r="J138" s="3"/>
      <c r="K138" s="3"/>
      <c r="L138" s="3"/>
      <c r="M138" s="3"/>
      <c r="N138" s="3"/>
      <c r="O138" s="3"/>
      <c r="S138" s="3"/>
      <c r="T138" s="3"/>
    </row>
    <row r="139" spans="6:20" ht="13" x14ac:dyDescent="0.15">
      <c r="F139" s="3"/>
      <c r="G139" s="3"/>
      <c r="H139" s="3"/>
      <c r="I139" s="3"/>
      <c r="J139" s="3"/>
      <c r="K139" s="3"/>
      <c r="L139" s="3"/>
      <c r="M139" s="3"/>
      <c r="N139" s="3"/>
      <c r="O139" s="3"/>
      <c r="S139" s="3"/>
      <c r="T139" s="3"/>
    </row>
    <row r="140" spans="6:20" ht="13" x14ac:dyDescent="0.15">
      <c r="F140" s="3"/>
      <c r="G140" s="3"/>
      <c r="H140" s="3"/>
      <c r="I140" s="3"/>
      <c r="J140" s="3"/>
      <c r="K140" s="3"/>
      <c r="L140" s="3"/>
      <c r="M140" s="3"/>
      <c r="N140" s="3"/>
      <c r="O140" s="3"/>
      <c r="S140" s="3"/>
      <c r="T140" s="3"/>
    </row>
    <row r="141" spans="6:20" ht="13" x14ac:dyDescent="0.15">
      <c r="F141" s="3"/>
      <c r="G141" s="3"/>
      <c r="H141" s="3"/>
      <c r="I141" s="3"/>
      <c r="J141" s="3"/>
      <c r="K141" s="3"/>
      <c r="L141" s="3"/>
      <c r="M141" s="3"/>
      <c r="N141" s="3"/>
      <c r="O141" s="3"/>
      <c r="S141" s="3"/>
      <c r="T141" s="3"/>
    </row>
    <row r="142" spans="6:20" ht="13" x14ac:dyDescent="0.15">
      <c r="F142" s="3"/>
      <c r="G142" s="3"/>
      <c r="H142" s="3"/>
      <c r="I142" s="3"/>
      <c r="J142" s="3"/>
      <c r="K142" s="3"/>
      <c r="L142" s="3"/>
      <c r="M142" s="3"/>
      <c r="N142" s="3"/>
      <c r="O142" s="3"/>
      <c r="S142" s="3"/>
      <c r="T142" s="3"/>
    </row>
    <row r="143" spans="6:20" ht="13" x14ac:dyDescent="0.15">
      <c r="F143" s="3"/>
      <c r="G143" s="3"/>
      <c r="H143" s="3"/>
      <c r="I143" s="3"/>
      <c r="J143" s="3"/>
      <c r="K143" s="3"/>
      <c r="L143" s="3"/>
      <c r="M143" s="3"/>
      <c r="N143" s="3"/>
      <c r="O143" s="3"/>
      <c r="S143" s="3"/>
      <c r="T143" s="3"/>
    </row>
    <row r="144" spans="6:20" ht="13" x14ac:dyDescent="0.15">
      <c r="F144" s="3"/>
      <c r="G144" s="3"/>
      <c r="H144" s="3"/>
      <c r="I144" s="3"/>
      <c r="J144" s="3"/>
      <c r="K144" s="3"/>
      <c r="L144" s="3"/>
      <c r="M144" s="3"/>
      <c r="N144" s="3"/>
      <c r="O144" s="3"/>
      <c r="S144" s="3"/>
      <c r="T144" s="3"/>
    </row>
    <row r="145" spans="6:20" ht="13" x14ac:dyDescent="0.15">
      <c r="F145" s="3"/>
      <c r="G145" s="3"/>
      <c r="H145" s="3"/>
      <c r="I145" s="3"/>
      <c r="J145" s="3"/>
      <c r="K145" s="3"/>
      <c r="L145" s="3"/>
      <c r="M145" s="3"/>
      <c r="N145" s="3"/>
      <c r="O145" s="3"/>
      <c r="S145" s="3"/>
      <c r="T145" s="3"/>
    </row>
    <row r="146" spans="6:20" ht="13" x14ac:dyDescent="0.15">
      <c r="F146" s="3"/>
      <c r="G146" s="3"/>
      <c r="H146" s="3"/>
      <c r="I146" s="3"/>
      <c r="J146" s="3"/>
      <c r="K146" s="3"/>
      <c r="L146" s="3"/>
      <c r="M146" s="3"/>
      <c r="N146" s="3"/>
      <c r="O146" s="3"/>
      <c r="S146" s="3"/>
      <c r="T146" s="3"/>
    </row>
    <row r="147" spans="6:20" ht="13" x14ac:dyDescent="0.15">
      <c r="F147" s="3"/>
      <c r="G147" s="3"/>
      <c r="H147" s="3"/>
      <c r="I147" s="3"/>
      <c r="J147" s="3"/>
      <c r="K147" s="3"/>
      <c r="L147" s="3"/>
      <c r="M147" s="3"/>
      <c r="N147" s="3"/>
      <c r="O147" s="3"/>
      <c r="S147" s="3"/>
      <c r="T147" s="3"/>
    </row>
    <row r="148" spans="6:20" ht="13" x14ac:dyDescent="0.15">
      <c r="F148" s="3"/>
      <c r="G148" s="3"/>
      <c r="H148" s="3"/>
      <c r="I148" s="3"/>
      <c r="J148" s="3"/>
      <c r="K148" s="3"/>
      <c r="L148" s="3"/>
      <c r="M148" s="3"/>
      <c r="N148" s="3"/>
      <c r="O148" s="3"/>
      <c r="S148" s="3"/>
      <c r="T148" s="3"/>
    </row>
    <row r="149" spans="6:20" ht="13" x14ac:dyDescent="0.15">
      <c r="F149" s="3"/>
      <c r="G149" s="3"/>
      <c r="H149" s="3"/>
      <c r="I149" s="3"/>
      <c r="J149" s="3"/>
      <c r="K149" s="3"/>
      <c r="L149" s="3"/>
      <c r="M149" s="3"/>
      <c r="N149" s="3"/>
      <c r="O149" s="3"/>
      <c r="S149" s="3"/>
      <c r="T149" s="3"/>
    </row>
    <row r="150" spans="6:20" ht="13" x14ac:dyDescent="0.15">
      <c r="F150" s="3"/>
      <c r="G150" s="3"/>
      <c r="H150" s="3"/>
      <c r="I150" s="3"/>
      <c r="J150" s="3"/>
      <c r="K150" s="3"/>
      <c r="L150" s="3"/>
      <c r="M150" s="3"/>
      <c r="N150" s="3"/>
      <c r="O150" s="3"/>
      <c r="S150" s="3"/>
      <c r="T150" s="3"/>
    </row>
    <row r="151" spans="6:20" ht="13" x14ac:dyDescent="0.15">
      <c r="F151" s="3"/>
      <c r="G151" s="3"/>
      <c r="H151" s="3"/>
      <c r="I151" s="3"/>
      <c r="J151" s="3"/>
      <c r="K151" s="3"/>
      <c r="L151" s="3"/>
      <c r="M151" s="3"/>
      <c r="N151" s="3"/>
      <c r="O151" s="3"/>
      <c r="S151" s="3"/>
      <c r="T151" s="3"/>
    </row>
    <row r="152" spans="6:20" ht="13" x14ac:dyDescent="0.15">
      <c r="F152" s="3"/>
      <c r="G152" s="3"/>
      <c r="H152" s="3"/>
      <c r="I152" s="3"/>
      <c r="J152" s="3"/>
      <c r="K152" s="3"/>
      <c r="L152" s="3"/>
      <c r="M152" s="3"/>
      <c r="N152" s="3"/>
      <c r="O152" s="3"/>
      <c r="S152" s="3"/>
      <c r="T152" s="3"/>
    </row>
    <row r="153" spans="6:20" ht="13" x14ac:dyDescent="0.15">
      <c r="F153" s="3"/>
      <c r="G153" s="3"/>
      <c r="H153" s="3"/>
      <c r="I153" s="3"/>
      <c r="J153" s="3"/>
      <c r="K153" s="3"/>
      <c r="L153" s="3"/>
      <c r="M153" s="3"/>
      <c r="N153" s="3"/>
      <c r="O153" s="3"/>
      <c r="S153" s="3"/>
      <c r="T153" s="3"/>
    </row>
    <row r="154" spans="6:20" ht="13" x14ac:dyDescent="0.15">
      <c r="F154" s="3"/>
      <c r="G154" s="3"/>
      <c r="H154" s="3"/>
      <c r="I154" s="3"/>
      <c r="J154" s="3"/>
      <c r="K154" s="3"/>
      <c r="L154" s="3"/>
      <c r="M154" s="3"/>
      <c r="N154" s="3"/>
      <c r="O154" s="3"/>
      <c r="S154" s="3"/>
      <c r="T154" s="3"/>
    </row>
    <row r="155" spans="6:20" ht="13" x14ac:dyDescent="0.15">
      <c r="F155" s="3"/>
      <c r="G155" s="3"/>
      <c r="H155" s="3"/>
      <c r="I155" s="3"/>
      <c r="J155" s="3"/>
      <c r="K155" s="3"/>
      <c r="L155" s="3"/>
      <c r="M155" s="3"/>
      <c r="N155" s="3"/>
      <c r="O155" s="3"/>
      <c r="S155" s="3"/>
      <c r="T155" s="3"/>
    </row>
    <row r="156" spans="6:20" ht="13" x14ac:dyDescent="0.15">
      <c r="F156" s="3"/>
      <c r="G156" s="3"/>
      <c r="H156" s="3"/>
      <c r="I156" s="3"/>
      <c r="J156" s="3"/>
      <c r="K156" s="3"/>
      <c r="L156" s="3"/>
      <c r="M156" s="3"/>
      <c r="N156" s="3"/>
      <c r="O156" s="3"/>
      <c r="S156" s="3"/>
      <c r="T156" s="3"/>
    </row>
    <row r="157" spans="6:20" ht="13" x14ac:dyDescent="0.15">
      <c r="F157" s="3"/>
      <c r="G157" s="3"/>
      <c r="H157" s="3"/>
      <c r="I157" s="3"/>
      <c r="J157" s="3"/>
      <c r="K157" s="3"/>
      <c r="L157" s="3"/>
      <c r="M157" s="3"/>
      <c r="N157" s="3"/>
      <c r="O157" s="3"/>
      <c r="S157" s="3"/>
      <c r="T157" s="3"/>
    </row>
    <row r="158" spans="6:20" ht="13" x14ac:dyDescent="0.15">
      <c r="F158" s="3"/>
      <c r="G158" s="3"/>
      <c r="H158" s="3"/>
      <c r="I158" s="3"/>
      <c r="J158" s="3"/>
      <c r="K158" s="3"/>
      <c r="L158" s="3"/>
      <c r="M158" s="3"/>
      <c r="N158" s="3"/>
      <c r="O158" s="3"/>
      <c r="S158" s="3"/>
      <c r="T158" s="3"/>
    </row>
    <row r="159" spans="6:20" ht="13" x14ac:dyDescent="0.15">
      <c r="F159" s="3"/>
      <c r="G159" s="3"/>
      <c r="H159" s="3"/>
      <c r="I159" s="3"/>
      <c r="J159" s="3"/>
      <c r="K159" s="3"/>
      <c r="L159" s="3"/>
      <c r="M159" s="3"/>
      <c r="N159" s="3"/>
      <c r="O159" s="3"/>
      <c r="S159" s="3"/>
      <c r="T159" s="3"/>
    </row>
    <row r="160" spans="6:20" ht="13" x14ac:dyDescent="0.15">
      <c r="F160" s="3"/>
      <c r="G160" s="3"/>
      <c r="H160" s="3"/>
      <c r="I160" s="3"/>
      <c r="J160" s="3"/>
      <c r="K160" s="3"/>
      <c r="L160" s="3"/>
      <c r="M160" s="3"/>
      <c r="N160" s="3"/>
      <c r="O160" s="3"/>
      <c r="S160" s="3"/>
      <c r="T160" s="3"/>
    </row>
    <row r="161" spans="6:20" ht="13" x14ac:dyDescent="0.15">
      <c r="F161" s="3"/>
      <c r="G161" s="3"/>
      <c r="H161" s="3"/>
      <c r="I161" s="3"/>
      <c r="J161" s="3"/>
      <c r="K161" s="3"/>
      <c r="L161" s="3"/>
      <c r="M161" s="3"/>
      <c r="N161" s="3"/>
      <c r="O161" s="3"/>
      <c r="S161" s="3"/>
      <c r="T161" s="3"/>
    </row>
    <row r="162" spans="6:20" ht="13" x14ac:dyDescent="0.15">
      <c r="F162" s="3"/>
      <c r="G162" s="3"/>
      <c r="H162" s="3"/>
      <c r="I162" s="3"/>
      <c r="J162" s="3"/>
      <c r="K162" s="3"/>
      <c r="L162" s="3"/>
      <c r="M162" s="3"/>
      <c r="N162" s="3"/>
      <c r="O162" s="3"/>
      <c r="S162" s="3"/>
      <c r="T162" s="3"/>
    </row>
    <row r="163" spans="6:20" ht="13" x14ac:dyDescent="0.15">
      <c r="F163" s="3"/>
      <c r="G163" s="3"/>
      <c r="H163" s="3"/>
      <c r="I163" s="3"/>
      <c r="J163" s="3"/>
      <c r="K163" s="3"/>
      <c r="L163" s="3"/>
      <c r="M163" s="3"/>
      <c r="N163" s="3"/>
      <c r="O163" s="3"/>
      <c r="S163" s="3"/>
      <c r="T163" s="3"/>
    </row>
    <row r="164" spans="6:20" ht="13" x14ac:dyDescent="0.15">
      <c r="F164" s="3"/>
      <c r="G164" s="3"/>
      <c r="H164" s="3"/>
      <c r="I164" s="3"/>
      <c r="J164" s="3"/>
      <c r="K164" s="3"/>
      <c r="L164" s="3"/>
      <c r="M164" s="3"/>
      <c r="N164" s="3"/>
      <c r="O164" s="3"/>
      <c r="S164" s="3"/>
      <c r="T164" s="3"/>
    </row>
    <row r="165" spans="6:20" ht="13" x14ac:dyDescent="0.15">
      <c r="F165" s="3"/>
      <c r="G165" s="3"/>
      <c r="H165" s="3"/>
      <c r="I165" s="3"/>
      <c r="J165" s="3"/>
      <c r="K165" s="3"/>
      <c r="L165" s="3"/>
      <c r="M165" s="3"/>
      <c r="N165" s="3"/>
      <c r="O165" s="3"/>
      <c r="S165" s="3"/>
      <c r="T165" s="3"/>
    </row>
    <row r="166" spans="6:20" ht="13" x14ac:dyDescent="0.15">
      <c r="F166" s="3"/>
      <c r="G166" s="3"/>
      <c r="H166" s="3"/>
      <c r="I166" s="3"/>
      <c r="J166" s="3"/>
      <c r="K166" s="3"/>
      <c r="L166" s="3"/>
      <c r="M166" s="3"/>
      <c r="N166" s="3"/>
      <c r="O166" s="3"/>
      <c r="S166" s="3"/>
      <c r="T166" s="3"/>
    </row>
    <row r="167" spans="6:20" ht="13" x14ac:dyDescent="0.15">
      <c r="F167" s="3"/>
      <c r="G167" s="3"/>
      <c r="H167" s="3"/>
      <c r="I167" s="3"/>
      <c r="J167" s="3"/>
      <c r="K167" s="3"/>
      <c r="L167" s="3"/>
      <c r="M167" s="3"/>
      <c r="N167" s="3"/>
      <c r="O167" s="3"/>
      <c r="S167" s="3"/>
      <c r="T167" s="3"/>
    </row>
    <row r="168" spans="6:20" ht="13" x14ac:dyDescent="0.15">
      <c r="F168" s="3"/>
      <c r="G168" s="3"/>
      <c r="H168" s="3"/>
      <c r="I168" s="3"/>
      <c r="J168" s="3"/>
      <c r="K168" s="3"/>
      <c r="L168" s="3"/>
      <c r="M168" s="3"/>
      <c r="N168" s="3"/>
      <c r="O168" s="3"/>
      <c r="S168" s="3"/>
      <c r="T168" s="3"/>
    </row>
    <row r="169" spans="6:20" ht="13" x14ac:dyDescent="0.15">
      <c r="F169" s="3"/>
      <c r="G169" s="3"/>
      <c r="H169" s="3"/>
      <c r="I169" s="3"/>
      <c r="J169" s="3"/>
      <c r="K169" s="3"/>
      <c r="L169" s="3"/>
      <c r="M169" s="3"/>
      <c r="N169" s="3"/>
      <c r="O169" s="3"/>
      <c r="S169" s="3"/>
      <c r="T169" s="3"/>
    </row>
    <row r="170" spans="6:20" ht="13" x14ac:dyDescent="0.15">
      <c r="F170" s="3"/>
      <c r="G170" s="3"/>
      <c r="H170" s="3"/>
      <c r="I170" s="3"/>
      <c r="J170" s="3"/>
      <c r="K170" s="3"/>
      <c r="L170" s="3"/>
      <c r="M170" s="3"/>
      <c r="N170" s="3"/>
      <c r="O170" s="3"/>
      <c r="S170" s="3"/>
      <c r="T170" s="3"/>
    </row>
    <row r="171" spans="6:20" ht="13" x14ac:dyDescent="0.15">
      <c r="F171" s="3"/>
      <c r="G171" s="3"/>
      <c r="H171" s="3"/>
      <c r="I171" s="3"/>
      <c r="J171" s="3"/>
      <c r="K171" s="3"/>
      <c r="L171" s="3"/>
      <c r="M171" s="3"/>
      <c r="N171" s="3"/>
      <c r="O171" s="3"/>
      <c r="S171" s="3"/>
      <c r="T171" s="3"/>
    </row>
    <row r="172" spans="6:20" ht="13" x14ac:dyDescent="0.15">
      <c r="F172" s="3"/>
      <c r="G172" s="3"/>
      <c r="H172" s="3"/>
      <c r="I172" s="3"/>
      <c r="J172" s="3"/>
      <c r="K172" s="3"/>
      <c r="L172" s="3"/>
      <c r="M172" s="3"/>
      <c r="N172" s="3"/>
      <c r="O172" s="3"/>
      <c r="S172" s="3"/>
      <c r="T172" s="3"/>
    </row>
    <row r="173" spans="6:20" ht="13" x14ac:dyDescent="0.15">
      <c r="F173" s="3"/>
      <c r="G173" s="3"/>
      <c r="H173" s="3"/>
      <c r="I173" s="3"/>
      <c r="J173" s="3"/>
      <c r="K173" s="3"/>
      <c r="L173" s="3"/>
      <c r="M173" s="3"/>
      <c r="N173" s="3"/>
      <c r="O173" s="3"/>
      <c r="S173" s="3"/>
      <c r="T173" s="3"/>
    </row>
    <row r="174" spans="6:20" ht="13" x14ac:dyDescent="0.15">
      <c r="F174" s="3"/>
      <c r="G174" s="3"/>
      <c r="H174" s="3"/>
      <c r="I174" s="3"/>
      <c r="J174" s="3"/>
      <c r="K174" s="3"/>
      <c r="L174" s="3"/>
      <c r="M174" s="3"/>
      <c r="N174" s="3"/>
      <c r="O174" s="3"/>
      <c r="S174" s="3"/>
      <c r="T174" s="3"/>
    </row>
    <row r="175" spans="6:20" ht="13" x14ac:dyDescent="0.15">
      <c r="F175" s="3"/>
      <c r="G175" s="3"/>
      <c r="H175" s="3"/>
      <c r="I175" s="3"/>
      <c r="J175" s="3"/>
      <c r="K175" s="3"/>
      <c r="L175" s="3"/>
      <c r="M175" s="3"/>
      <c r="N175" s="3"/>
      <c r="O175" s="3"/>
      <c r="S175" s="3"/>
      <c r="T175" s="3"/>
    </row>
    <row r="176" spans="6:20" ht="13" x14ac:dyDescent="0.15">
      <c r="F176" s="3"/>
      <c r="G176" s="3"/>
      <c r="H176" s="3"/>
      <c r="I176" s="3"/>
      <c r="J176" s="3"/>
      <c r="K176" s="3"/>
      <c r="L176" s="3"/>
      <c r="M176" s="3"/>
      <c r="N176" s="3"/>
      <c r="O176" s="3"/>
      <c r="S176" s="3"/>
      <c r="T176" s="3"/>
    </row>
    <row r="177" spans="6:20" ht="13" x14ac:dyDescent="0.15">
      <c r="F177" s="3"/>
      <c r="G177" s="3"/>
      <c r="H177" s="3"/>
      <c r="I177" s="3"/>
      <c r="J177" s="3"/>
      <c r="K177" s="3"/>
      <c r="L177" s="3"/>
      <c r="M177" s="3"/>
      <c r="N177" s="3"/>
      <c r="O177" s="3"/>
      <c r="S177" s="3"/>
      <c r="T177" s="3"/>
    </row>
    <row r="178" spans="6:20" ht="13" x14ac:dyDescent="0.15">
      <c r="F178" s="3"/>
      <c r="G178" s="3"/>
      <c r="H178" s="3"/>
      <c r="I178" s="3"/>
      <c r="J178" s="3"/>
      <c r="K178" s="3"/>
      <c r="L178" s="3"/>
      <c r="M178" s="3"/>
      <c r="N178" s="3"/>
      <c r="O178" s="3"/>
      <c r="S178" s="3"/>
      <c r="T178" s="3"/>
    </row>
    <row r="179" spans="6:20" ht="13" x14ac:dyDescent="0.15">
      <c r="F179" s="3"/>
      <c r="G179" s="3"/>
      <c r="H179" s="3"/>
      <c r="I179" s="3"/>
      <c r="J179" s="3"/>
      <c r="K179" s="3"/>
      <c r="L179" s="3"/>
      <c r="M179" s="3"/>
      <c r="N179" s="3"/>
      <c r="O179" s="3"/>
      <c r="S179" s="3"/>
      <c r="T179" s="3"/>
    </row>
    <row r="180" spans="6:20" ht="13" x14ac:dyDescent="0.15">
      <c r="F180" s="3"/>
      <c r="G180" s="3"/>
      <c r="H180" s="3"/>
      <c r="I180" s="3"/>
      <c r="J180" s="3"/>
      <c r="K180" s="3"/>
      <c r="L180" s="3"/>
      <c r="M180" s="3"/>
      <c r="N180" s="3"/>
      <c r="O180" s="3"/>
      <c r="S180" s="3"/>
      <c r="T180" s="3"/>
    </row>
    <row r="181" spans="6:20" ht="13" x14ac:dyDescent="0.15">
      <c r="F181" s="3"/>
      <c r="G181" s="3"/>
      <c r="H181" s="3"/>
      <c r="I181" s="3"/>
      <c r="J181" s="3"/>
      <c r="K181" s="3"/>
      <c r="L181" s="3"/>
      <c r="M181" s="3"/>
      <c r="N181" s="3"/>
      <c r="O181" s="3"/>
      <c r="S181" s="3"/>
      <c r="T181" s="3"/>
    </row>
    <row r="182" spans="6:20" ht="13" x14ac:dyDescent="0.15">
      <c r="F182" s="3"/>
      <c r="G182" s="3"/>
      <c r="H182" s="3"/>
      <c r="I182" s="3"/>
      <c r="J182" s="3"/>
      <c r="K182" s="3"/>
      <c r="L182" s="3"/>
      <c r="M182" s="3"/>
      <c r="N182" s="3"/>
      <c r="O182" s="3"/>
      <c r="S182" s="3"/>
      <c r="T182" s="3"/>
    </row>
    <row r="183" spans="6:20" ht="13" x14ac:dyDescent="0.15">
      <c r="F183" s="3"/>
      <c r="G183" s="3"/>
      <c r="H183" s="3"/>
      <c r="I183" s="3"/>
      <c r="J183" s="3"/>
      <c r="K183" s="3"/>
      <c r="L183" s="3"/>
      <c r="M183" s="3"/>
      <c r="N183" s="3"/>
      <c r="O183" s="3"/>
      <c r="S183" s="3"/>
      <c r="T183" s="3"/>
    </row>
    <row r="184" spans="6:20" ht="13" x14ac:dyDescent="0.15">
      <c r="F184" s="3"/>
      <c r="G184" s="3"/>
      <c r="H184" s="3"/>
      <c r="I184" s="3"/>
      <c r="J184" s="3"/>
      <c r="K184" s="3"/>
      <c r="L184" s="3"/>
      <c r="M184" s="3"/>
      <c r="N184" s="3"/>
      <c r="O184" s="3"/>
      <c r="S184" s="3"/>
      <c r="T184" s="3"/>
    </row>
    <row r="185" spans="6:20" ht="13" x14ac:dyDescent="0.15">
      <c r="F185" s="3"/>
      <c r="G185" s="3"/>
      <c r="H185" s="3"/>
      <c r="I185" s="3"/>
      <c r="J185" s="3"/>
      <c r="K185" s="3"/>
      <c r="L185" s="3"/>
      <c r="M185" s="3"/>
      <c r="N185" s="3"/>
      <c r="O185" s="3"/>
      <c r="S185" s="3"/>
      <c r="T185" s="3"/>
    </row>
    <row r="186" spans="6:20" ht="13" x14ac:dyDescent="0.15">
      <c r="F186" s="3"/>
      <c r="G186" s="3"/>
      <c r="H186" s="3"/>
      <c r="I186" s="3"/>
      <c r="J186" s="3"/>
      <c r="K186" s="3"/>
      <c r="L186" s="3"/>
      <c r="M186" s="3"/>
      <c r="N186" s="3"/>
      <c r="O186" s="3"/>
      <c r="S186" s="3"/>
      <c r="T186" s="3"/>
    </row>
    <row r="187" spans="6:20" ht="13" x14ac:dyDescent="0.15">
      <c r="F187" s="3"/>
      <c r="G187" s="3"/>
      <c r="H187" s="3"/>
      <c r="I187" s="3"/>
      <c r="J187" s="3"/>
      <c r="K187" s="3"/>
      <c r="L187" s="3"/>
      <c r="M187" s="3"/>
      <c r="N187" s="3"/>
      <c r="O187" s="3"/>
      <c r="S187" s="3"/>
      <c r="T187" s="3"/>
    </row>
    <row r="188" spans="6:20" ht="13" x14ac:dyDescent="0.15">
      <c r="F188" s="3"/>
      <c r="G188" s="3"/>
      <c r="H188" s="3"/>
      <c r="I188" s="3"/>
      <c r="J188" s="3"/>
      <c r="K188" s="3"/>
      <c r="L188" s="3"/>
      <c r="M188" s="3"/>
      <c r="N188" s="3"/>
      <c r="O188" s="3"/>
      <c r="S188" s="3"/>
      <c r="T188" s="3"/>
    </row>
    <row r="189" spans="6:20" ht="13" x14ac:dyDescent="0.15">
      <c r="F189" s="3"/>
      <c r="G189" s="3"/>
      <c r="H189" s="3"/>
      <c r="I189" s="3"/>
      <c r="J189" s="3"/>
      <c r="K189" s="3"/>
      <c r="L189" s="3"/>
      <c r="M189" s="3"/>
      <c r="N189" s="3"/>
      <c r="O189" s="3"/>
      <c r="S189" s="3"/>
      <c r="T189" s="3"/>
    </row>
    <row r="190" spans="6:20" ht="13" x14ac:dyDescent="0.15">
      <c r="F190" s="3"/>
      <c r="G190" s="3"/>
      <c r="H190" s="3"/>
      <c r="I190" s="3"/>
      <c r="J190" s="3"/>
      <c r="K190" s="3"/>
      <c r="L190" s="3"/>
      <c r="M190" s="3"/>
      <c r="N190" s="3"/>
      <c r="O190" s="3"/>
      <c r="S190" s="3"/>
      <c r="T190" s="3"/>
    </row>
    <row r="191" spans="6:20" ht="13" x14ac:dyDescent="0.15">
      <c r="F191" s="3"/>
      <c r="G191" s="3"/>
      <c r="H191" s="3"/>
      <c r="I191" s="3"/>
      <c r="J191" s="3"/>
      <c r="K191" s="3"/>
      <c r="L191" s="3"/>
      <c r="M191" s="3"/>
      <c r="N191" s="3"/>
      <c r="O191" s="3"/>
      <c r="S191" s="3"/>
      <c r="T191" s="3"/>
    </row>
    <row r="192" spans="6:20" ht="13" x14ac:dyDescent="0.15">
      <c r="F192" s="3"/>
      <c r="G192" s="3"/>
      <c r="H192" s="3"/>
      <c r="I192" s="3"/>
      <c r="J192" s="3"/>
      <c r="K192" s="3"/>
      <c r="L192" s="3"/>
      <c r="M192" s="3"/>
      <c r="N192" s="3"/>
      <c r="O192" s="3"/>
      <c r="S192" s="3"/>
      <c r="T192" s="3"/>
    </row>
    <row r="193" spans="6:20" ht="13" x14ac:dyDescent="0.15">
      <c r="F193" s="3"/>
      <c r="G193" s="3"/>
      <c r="H193" s="3"/>
      <c r="I193" s="3"/>
      <c r="J193" s="3"/>
      <c r="K193" s="3"/>
      <c r="L193" s="3"/>
      <c r="M193" s="3"/>
      <c r="N193" s="3"/>
      <c r="O193" s="3"/>
      <c r="S193" s="3"/>
      <c r="T193" s="3"/>
    </row>
    <row r="194" spans="6:20" ht="13" x14ac:dyDescent="0.15">
      <c r="F194" s="3"/>
      <c r="G194" s="3"/>
      <c r="H194" s="3"/>
      <c r="I194" s="3"/>
      <c r="J194" s="3"/>
      <c r="K194" s="3"/>
      <c r="L194" s="3"/>
      <c r="M194" s="3"/>
      <c r="N194" s="3"/>
      <c r="O194" s="3"/>
      <c r="S194" s="3"/>
      <c r="T194" s="3"/>
    </row>
    <row r="195" spans="6:20" ht="13" x14ac:dyDescent="0.15">
      <c r="F195" s="3"/>
      <c r="G195" s="3"/>
      <c r="H195" s="3"/>
      <c r="I195" s="3"/>
      <c r="J195" s="3"/>
      <c r="K195" s="3"/>
      <c r="L195" s="3"/>
      <c r="M195" s="3"/>
      <c r="N195" s="3"/>
      <c r="O195" s="3"/>
      <c r="S195" s="3"/>
      <c r="T195" s="3"/>
    </row>
    <row r="196" spans="6:20" ht="13" x14ac:dyDescent="0.15">
      <c r="F196" s="3"/>
      <c r="G196" s="3"/>
      <c r="H196" s="3"/>
      <c r="I196" s="3"/>
      <c r="J196" s="3"/>
      <c r="K196" s="3"/>
      <c r="L196" s="3"/>
      <c r="M196" s="3"/>
      <c r="N196" s="3"/>
      <c r="O196" s="3"/>
      <c r="S196" s="3"/>
      <c r="T196" s="3"/>
    </row>
    <row r="197" spans="6:20" ht="13" x14ac:dyDescent="0.15">
      <c r="F197" s="3"/>
      <c r="G197" s="3"/>
      <c r="H197" s="3"/>
      <c r="I197" s="3"/>
      <c r="J197" s="3"/>
      <c r="K197" s="3"/>
      <c r="L197" s="3"/>
      <c r="M197" s="3"/>
      <c r="N197" s="3"/>
      <c r="O197" s="3"/>
      <c r="S197" s="3"/>
      <c r="T197" s="3"/>
    </row>
    <row r="198" spans="6:20" ht="13" x14ac:dyDescent="0.15">
      <c r="F198" s="3"/>
      <c r="G198" s="3"/>
      <c r="H198" s="3"/>
      <c r="I198" s="3"/>
      <c r="J198" s="3"/>
      <c r="K198" s="3"/>
      <c r="L198" s="3"/>
      <c r="M198" s="3"/>
      <c r="N198" s="3"/>
      <c r="O198" s="3"/>
      <c r="S198" s="3"/>
      <c r="T198" s="3"/>
    </row>
    <row r="199" spans="6:20" ht="13" x14ac:dyDescent="0.15">
      <c r="F199" s="3"/>
      <c r="G199" s="3"/>
      <c r="H199" s="3"/>
      <c r="I199" s="3"/>
      <c r="J199" s="3"/>
      <c r="K199" s="3"/>
      <c r="L199" s="3"/>
      <c r="M199" s="3"/>
      <c r="N199" s="3"/>
      <c r="O199" s="3"/>
      <c r="S199" s="3"/>
      <c r="T199" s="3"/>
    </row>
    <row r="200" spans="6:20" ht="13" x14ac:dyDescent="0.15">
      <c r="F200" s="3"/>
      <c r="G200" s="3"/>
      <c r="H200" s="3"/>
      <c r="I200" s="3"/>
      <c r="J200" s="3"/>
      <c r="K200" s="3"/>
      <c r="L200" s="3"/>
      <c r="M200" s="3"/>
      <c r="N200" s="3"/>
      <c r="O200" s="3"/>
      <c r="S200" s="3"/>
      <c r="T200" s="3"/>
    </row>
    <row r="201" spans="6:20" ht="13" x14ac:dyDescent="0.15">
      <c r="F201" s="3"/>
      <c r="G201" s="3"/>
      <c r="H201" s="3"/>
      <c r="I201" s="3"/>
      <c r="J201" s="3"/>
      <c r="K201" s="3"/>
      <c r="L201" s="3"/>
      <c r="M201" s="3"/>
      <c r="N201" s="3"/>
      <c r="O201" s="3"/>
      <c r="S201" s="3"/>
      <c r="T201" s="3"/>
    </row>
    <row r="202" spans="6:20" ht="13" x14ac:dyDescent="0.15">
      <c r="F202" s="3"/>
      <c r="G202" s="3"/>
      <c r="H202" s="3"/>
      <c r="I202" s="3"/>
      <c r="J202" s="3"/>
      <c r="K202" s="3"/>
      <c r="L202" s="3"/>
      <c r="M202" s="3"/>
      <c r="N202" s="3"/>
      <c r="O202" s="3"/>
      <c r="S202" s="3"/>
      <c r="T202" s="3"/>
    </row>
    <row r="203" spans="6:20" ht="13" x14ac:dyDescent="0.15">
      <c r="F203" s="3"/>
      <c r="G203" s="3"/>
      <c r="H203" s="3"/>
      <c r="I203" s="3"/>
      <c r="J203" s="3"/>
      <c r="K203" s="3"/>
      <c r="L203" s="3"/>
      <c r="M203" s="3"/>
      <c r="N203" s="3"/>
      <c r="O203" s="3"/>
      <c r="S203" s="3"/>
      <c r="T203" s="3"/>
    </row>
    <row r="204" spans="6:20" ht="13" x14ac:dyDescent="0.15">
      <c r="F204" s="3"/>
      <c r="G204" s="3"/>
      <c r="H204" s="3"/>
      <c r="I204" s="3"/>
      <c r="J204" s="3"/>
      <c r="K204" s="3"/>
      <c r="L204" s="3"/>
      <c r="M204" s="3"/>
      <c r="N204" s="3"/>
      <c r="O204" s="3"/>
      <c r="S204" s="3"/>
      <c r="T204" s="3"/>
    </row>
    <row r="205" spans="6:20" ht="13" x14ac:dyDescent="0.15">
      <c r="F205" s="3"/>
      <c r="G205" s="3"/>
      <c r="H205" s="3"/>
      <c r="I205" s="3"/>
      <c r="J205" s="3"/>
      <c r="K205" s="3"/>
      <c r="L205" s="3"/>
      <c r="M205" s="3"/>
      <c r="N205" s="3"/>
      <c r="O205" s="3"/>
      <c r="S205" s="3"/>
      <c r="T205" s="3"/>
    </row>
    <row r="206" spans="6:20" ht="13" x14ac:dyDescent="0.15">
      <c r="F206" s="3"/>
      <c r="G206" s="3"/>
      <c r="H206" s="3"/>
      <c r="I206" s="3"/>
      <c r="J206" s="3"/>
      <c r="K206" s="3"/>
      <c r="L206" s="3"/>
      <c r="M206" s="3"/>
      <c r="N206" s="3"/>
      <c r="O206" s="3"/>
      <c r="S206" s="3"/>
      <c r="T206" s="3"/>
    </row>
    <row r="207" spans="6:20" ht="13" x14ac:dyDescent="0.15">
      <c r="F207" s="3"/>
      <c r="G207" s="3"/>
      <c r="H207" s="3"/>
      <c r="I207" s="3"/>
      <c r="J207" s="3"/>
      <c r="K207" s="3"/>
      <c r="L207" s="3"/>
      <c r="M207" s="3"/>
      <c r="N207" s="3"/>
      <c r="O207" s="3"/>
      <c r="S207" s="3"/>
      <c r="T207" s="3"/>
    </row>
    <row r="208" spans="6:20" ht="13" x14ac:dyDescent="0.15">
      <c r="F208" s="3"/>
      <c r="G208" s="3"/>
      <c r="H208" s="3"/>
      <c r="I208" s="3"/>
      <c r="J208" s="3"/>
      <c r="K208" s="3"/>
      <c r="L208" s="3"/>
      <c r="M208" s="3"/>
      <c r="N208" s="3"/>
      <c r="O208" s="3"/>
      <c r="S208" s="3"/>
      <c r="T208" s="3"/>
    </row>
    <row r="209" spans="6:20" ht="13" x14ac:dyDescent="0.15">
      <c r="F209" s="3"/>
      <c r="G209" s="3"/>
      <c r="H209" s="3"/>
      <c r="I209" s="3"/>
      <c r="J209" s="3"/>
      <c r="K209" s="3"/>
      <c r="L209" s="3"/>
      <c r="M209" s="3"/>
      <c r="N209" s="3"/>
      <c r="O209" s="3"/>
      <c r="S209" s="3"/>
      <c r="T209" s="3"/>
    </row>
    <row r="210" spans="6:20" ht="13" x14ac:dyDescent="0.15">
      <c r="F210" s="3"/>
      <c r="G210" s="3"/>
      <c r="H210" s="3"/>
      <c r="I210" s="3"/>
      <c r="J210" s="3"/>
      <c r="K210" s="3"/>
      <c r="L210" s="3"/>
      <c r="M210" s="3"/>
      <c r="N210" s="3"/>
      <c r="O210" s="3"/>
      <c r="S210" s="3"/>
      <c r="T210" s="3"/>
    </row>
    <row r="211" spans="6:20" ht="13" x14ac:dyDescent="0.15">
      <c r="F211" s="3"/>
      <c r="G211" s="3"/>
      <c r="H211" s="3"/>
      <c r="I211" s="3"/>
      <c r="J211" s="3"/>
      <c r="K211" s="3"/>
      <c r="L211" s="3"/>
      <c r="M211" s="3"/>
      <c r="N211" s="3"/>
      <c r="O211" s="3"/>
      <c r="S211" s="3"/>
      <c r="T211" s="3"/>
    </row>
    <row r="212" spans="6:20" ht="13" x14ac:dyDescent="0.15">
      <c r="F212" s="3"/>
      <c r="G212" s="3"/>
      <c r="H212" s="3"/>
      <c r="I212" s="3"/>
      <c r="J212" s="3"/>
      <c r="K212" s="3"/>
      <c r="L212" s="3"/>
      <c r="M212" s="3"/>
      <c r="N212" s="3"/>
      <c r="O212" s="3"/>
      <c r="S212" s="3"/>
      <c r="T212" s="3"/>
    </row>
    <row r="213" spans="6:20" ht="13" x14ac:dyDescent="0.15">
      <c r="F213" s="3"/>
      <c r="G213" s="3"/>
      <c r="H213" s="3"/>
      <c r="I213" s="3"/>
      <c r="J213" s="3"/>
      <c r="K213" s="3"/>
      <c r="L213" s="3"/>
      <c r="M213" s="3"/>
      <c r="N213" s="3"/>
      <c r="O213" s="3"/>
      <c r="S213" s="3"/>
      <c r="T213" s="3"/>
    </row>
    <row r="214" spans="6:20" ht="13" x14ac:dyDescent="0.15">
      <c r="F214" s="3"/>
      <c r="G214" s="3"/>
      <c r="H214" s="3"/>
      <c r="I214" s="3"/>
      <c r="J214" s="3"/>
      <c r="K214" s="3"/>
      <c r="L214" s="3"/>
      <c r="M214" s="3"/>
      <c r="N214" s="3"/>
      <c r="O214" s="3"/>
      <c r="S214" s="3"/>
      <c r="T214" s="3"/>
    </row>
    <row r="215" spans="6:20" ht="13" x14ac:dyDescent="0.15">
      <c r="F215" s="3"/>
      <c r="G215" s="3"/>
      <c r="H215" s="3"/>
      <c r="I215" s="3"/>
      <c r="J215" s="3"/>
      <c r="K215" s="3"/>
      <c r="L215" s="3"/>
      <c r="M215" s="3"/>
      <c r="N215" s="3"/>
      <c r="O215" s="3"/>
      <c r="S215" s="3"/>
      <c r="T215" s="3"/>
    </row>
    <row r="216" spans="6:20" ht="13" x14ac:dyDescent="0.15">
      <c r="F216" s="3"/>
      <c r="G216" s="3"/>
      <c r="H216" s="3"/>
      <c r="I216" s="3"/>
      <c r="J216" s="3"/>
      <c r="K216" s="3"/>
      <c r="L216" s="3"/>
      <c r="M216" s="3"/>
      <c r="N216" s="3"/>
      <c r="O216" s="3"/>
      <c r="S216" s="3"/>
      <c r="T216" s="3"/>
    </row>
    <row r="217" spans="6:20" ht="13" x14ac:dyDescent="0.15">
      <c r="F217" s="3"/>
      <c r="G217" s="3"/>
      <c r="H217" s="3"/>
      <c r="I217" s="3"/>
      <c r="J217" s="3"/>
      <c r="K217" s="3"/>
      <c r="L217" s="3"/>
      <c r="M217" s="3"/>
      <c r="N217" s="3"/>
      <c r="O217" s="3"/>
      <c r="S217" s="3"/>
      <c r="T217" s="3"/>
    </row>
    <row r="218" spans="6:20" ht="13" x14ac:dyDescent="0.15">
      <c r="F218" s="3"/>
      <c r="G218" s="3"/>
      <c r="H218" s="3"/>
      <c r="I218" s="3"/>
      <c r="J218" s="3"/>
      <c r="K218" s="3"/>
      <c r="L218" s="3"/>
      <c r="M218" s="3"/>
      <c r="N218" s="3"/>
      <c r="O218" s="3"/>
      <c r="S218" s="3"/>
      <c r="T218" s="3"/>
    </row>
    <row r="219" spans="6:20" ht="13" x14ac:dyDescent="0.15">
      <c r="F219" s="3"/>
      <c r="G219" s="3"/>
      <c r="H219" s="3"/>
      <c r="I219" s="3"/>
      <c r="J219" s="3"/>
      <c r="K219" s="3"/>
      <c r="L219" s="3"/>
      <c r="M219" s="3"/>
      <c r="N219" s="3"/>
      <c r="O219" s="3"/>
      <c r="S219" s="3"/>
      <c r="T219" s="3"/>
    </row>
    <row r="220" spans="6:20" ht="13" x14ac:dyDescent="0.15">
      <c r="F220" s="3"/>
      <c r="G220" s="3"/>
      <c r="H220" s="3"/>
      <c r="I220" s="3"/>
      <c r="J220" s="3"/>
      <c r="K220" s="3"/>
      <c r="L220" s="3"/>
      <c r="M220" s="3"/>
      <c r="N220" s="3"/>
      <c r="O220" s="3"/>
      <c r="S220" s="3"/>
      <c r="T220" s="3"/>
    </row>
    <row r="221" spans="6:20" ht="13" x14ac:dyDescent="0.15">
      <c r="F221" s="3"/>
      <c r="G221" s="3"/>
      <c r="H221" s="3"/>
      <c r="I221" s="3"/>
      <c r="J221" s="3"/>
      <c r="K221" s="3"/>
      <c r="L221" s="3"/>
      <c r="M221" s="3"/>
      <c r="N221" s="3"/>
      <c r="O221" s="3"/>
      <c r="S221" s="3"/>
      <c r="T221" s="3"/>
    </row>
    <row r="222" spans="6:20" ht="13" x14ac:dyDescent="0.15">
      <c r="F222" s="3"/>
      <c r="G222" s="3"/>
      <c r="H222" s="3"/>
      <c r="I222" s="3"/>
      <c r="J222" s="3"/>
      <c r="K222" s="3"/>
      <c r="L222" s="3"/>
      <c r="M222" s="3"/>
      <c r="N222" s="3"/>
      <c r="O222" s="3"/>
      <c r="S222" s="3"/>
      <c r="T222" s="3"/>
    </row>
    <row r="223" spans="6:20" ht="13" x14ac:dyDescent="0.15">
      <c r="F223" s="3"/>
      <c r="G223" s="3"/>
      <c r="H223" s="3"/>
      <c r="I223" s="3"/>
      <c r="J223" s="3"/>
      <c r="K223" s="3"/>
      <c r="L223" s="3"/>
      <c r="M223" s="3"/>
      <c r="N223" s="3"/>
      <c r="O223" s="3"/>
      <c r="S223" s="3"/>
      <c r="T223" s="3"/>
    </row>
    <row r="224" spans="6:20" ht="13" x14ac:dyDescent="0.15">
      <c r="F224" s="3"/>
      <c r="G224" s="3"/>
      <c r="H224" s="3"/>
      <c r="I224" s="3"/>
      <c r="J224" s="3"/>
      <c r="K224" s="3"/>
      <c r="L224" s="3"/>
      <c r="M224" s="3"/>
      <c r="N224" s="3"/>
      <c r="O224" s="3"/>
      <c r="S224" s="3"/>
      <c r="T224" s="3"/>
    </row>
    <row r="225" spans="6:20" ht="13" x14ac:dyDescent="0.15">
      <c r="F225" s="3"/>
      <c r="G225" s="3"/>
      <c r="H225" s="3"/>
      <c r="I225" s="3"/>
      <c r="J225" s="3"/>
      <c r="K225" s="3"/>
      <c r="L225" s="3"/>
      <c r="M225" s="3"/>
      <c r="N225" s="3"/>
      <c r="O225" s="3"/>
      <c r="S225" s="3"/>
      <c r="T225" s="3"/>
    </row>
    <row r="226" spans="6:20" ht="13" x14ac:dyDescent="0.15">
      <c r="F226" s="3"/>
      <c r="G226" s="3"/>
      <c r="H226" s="3"/>
      <c r="I226" s="3"/>
      <c r="J226" s="3"/>
      <c r="K226" s="3"/>
      <c r="L226" s="3"/>
      <c r="M226" s="3"/>
      <c r="N226" s="3"/>
      <c r="O226" s="3"/>
      <c r="S226" s="3"/>
      <c r="T226" s="3"/>
    </row>
    <row r="227" spans="6:20" ht="13" x14ac:dyDescent="0.15">
      <c r="F227" s="3"/>
      <c r="G227" s="3"/>
      <c r="H227" s="3"/>
      <c r="I227" s="3"/>
      <c r="J227" s="3"/>
      <c r="K227" s="3"/>
      <c r="L227" s="3"/>
      <c r="M227" s="3"/>
      <c r="N227" s="3"/>
      <c r="O227" s="3"/>
      <c r="S227" s="3"/>
      <c r="T227" s="3"/>
    </row>
    <row r="228" spans="6:20" ht="13" x14ac:dyDescent="0.15">
      <c r="F228" s="3"/>
      <c r="G228" s="3"/>
      <c r="H228" s="3"/>
      <c r="I228" s="3"/>
      <c r="J228" s="3"/>
      <c r="K228" s="3"/>
      <c r="L228" s="3"/>
      <c r="M228" s="3"/>
      <c r="N228" s="3"/>
      <c r="O228" s="3"/>
      <c r="S228" s="3"/>
      <c r="T228" s="3"/>
    </row>
    <row r="229" spans="6:20" ht="13" x14ac:dyDescent="0.15">
      <c r="F229" s="3"/>
      <c r="G229" s="3"/>
      <c r="H229" s="3"/>
      <c r="I229" s="3"/>
      <c r="J229" s="3"/>
      <c r="K229" s="3"/>
      <c r="L229" s="3"/>
      <c r="M229" s="3"/>
      <c r="N229" s="3"/>
      <c r="O229" s="3"/>
      <c r="S229" s="3"/>
      <c r="T229" s="3"/>
    </row>
    <row r="230" spans="6:20" ht="13" x14ac:dyDescent="0.15">
      <c r="F230" s="3"/>
      <c r="G230" s="3"/>
      <c r="H230" s="3"/>
      <c r="I230" s="3"/>
      <c r="J230" s="3"/>
      <c r="K230" s="3"/>
      <c r="L230" s="3"/>
      <c r="M230" s="3"/>
      <c r="N230" s="3"/>
      <c r="O230" s="3"/>
      <c r="S230" s="3"/>
      <c r="T230" s="3"/>
    </row>
    <row r="231" spans="6:20" ht="13" x14ac:dyDescent="0.15">
      <c r="F231" s="3"/>
      <c r="G231" s="3"/>
      <c r="H231" s="3"/>
      <c r="I231" s="3"/>
      <c r="J231" s="3"/>
      <c r="K231" s="3"/>
      <c r="L231" s="3"/>
      <c r="M231" s="3"/>
      <c r="N231" s="3"/>
      <c r="O231" s="3"/>
      <c r="S231" s="3"/>
      <c r="T231" s="3"/>
    </row>
    <row r="232" spans="6:20" ht="13" x14ac:dyDescent="0.15">
      <c r="F232" s="3"/>
      <c r="G232" s="3"/>
      <c r="H232" s="3"/>
      <c r="I232" s="3"/>
      <c r="J232" s="3"/>
      <c r="K232" s="3"/>
      <c r="L232" s="3"/>
      <c r="M232" s="3"/>
      <c r="N232" s="3"/>
      <c r="O232" s="3"/>
      <c r="S232" s="3"/>
      <c r="T232" s="3"/>
    </row>
    <row r="233" spans="6:20" ht="13" x14ac:dyDescent="0.15">
      <c r="F233" s="3"/>
      <c r="G233" s="3"/>
      <c r="H233" s="3"/>
      <c r="I233" s="3"/>
      <c r="J233" s="3"/>
      <c r="K233" s="3"/>
      <c r="L233" s="3"/>
      <c r="M233" s="3"/>
      <c r="N233" s="3"/>
      <c r="O233" s="3"/>
      <c r="S233" s="3"/>
      <c r="T233" s="3"/>
    </row>
    <row r="234" spans="6:20" ht="13" x14ac:dyDescent="0.15">
      <c r="F234" s="3"/>
      <c r="G234" s="3"/>
      <c r="H234" s="3"/>
      <c r="I234" s="3"/>
      <c r="J234" s="3"/>
      <c r="K234" s="3"/>
      <c r="L234" s="3"/>
      <c r="M234" s="3"/>
      <c r="N234" s="3"/>
      <c r="O234" s="3"/>
      <c r="S234" s="3"/>
      <c r="T234" s="3"/>
    </row>
    <row r="235" spans="6:20" ht="13" x14ac:dyDescent="0.15">
      <c r="F235" s="3"/>
      <c r="G235" s="3"/>
      <c r="H235" s="3"/>
      <c r="I235" s="3"/>
      <c r="J235" s="3"/>
      <c r="K235" s="3"/>
      <c r="L235" s="3"/>
      <c r="M235" s="3"/>
      <c r="N235" s="3"/>
      <c r="O235" s="3"/>
      <c r="S235" s="3"/>
      <c r="T235" s="3"/>
    </row>
    <row r="236" spans="6:20" ht="13" x14ac:dyDescent="0.15">
      <c r="F236" s="3"/>
      <c r="G236" s="3"/>
      <c r="H236" s="3"/>
      <c r="I236" s="3"/>
      <c r="J236" s="3"/>
      <c r="K236" s="3"/>
      <c r="L236" s="3"/>
      <c r="M236" s="3"/>
      <c r="N236" s="3"/>
      <c r="O236" s="3"/>
      <c r="S236" s="3"/>
      <c r="T236" s="3"/>
    </row>
    <row r="237" spans="6:20" ht="13" x14ac:dyDescent="0.15">
      <c r="F237" s="3"/>
      <c r="G237" s="3"/>
      <c r="H237" s="3"/>
      <c r="I237" s="3"/>
      <c r="J237" s="3"/>
      <c r="K237" s="3"/>
      <c r="L237" s="3"/>
      <c r="M237" s="3"/>
      <c r="N237" s="3"/>
      <c r="O237" s="3"/>
      <c r="S237" s="3"/>
      <c r="T237" s="3"/>
    </row>
    <row r="238" spans="6:20" ht="13" x14ac:dyDescent="0.15">
      <c r="F238" s="3"/>
      <c r="G238" s="3"/>
      <c r="H238" s="3"/>
      <c r="I238" s="3"/>
      <c r="J238" s="3"/>
      <c r="K238" s="3"/>
      <c r="L238" s="3"/>
      <c r="M238" s="3"/>
      <c r="N238" s="3"/>
      <c r="O238" s="3"/>
      <c r="S238" s="3"/>
      <c r="T238" s="3"/>
    </row>
    <row r="239" spans="6:20" ht="13" x14ac:dyDescent="0.15">
      <c r="F239" s="3"/>
      <c r="G239" s="3"/>
      <c r="H239" s="3"/>
      <c r="I239" s="3"/>
      <c r="J239" s="3"/>
      <c r="K239" s="3"/>
      <c r="L239" s="3"/>
      <c r="M239" s="3"/>
      <c r="N239" s="3"/>
      <c r="O239" s="3"/>
      <c r="S239" s="3"/>
      <c r="T239" s="3"/>
    </row>
    <row r="240" spans="6:20" ht="13" x14ac:dyDescent="0.15">
      <c r="F240" s="3"/>
      <c r="G240" s="3"/>
      <c r="H240" s="3"/>
      <c r="I240" s="3"/>
      <c r="J240" s="3"/>
      <c r="K240" s="3"/>
      <c r="L240" s="3"/>
      <c r="M240" s="3"/>
      <c r="N240" s="3"/>
      <c r="O240" s="3"/>
      <c r="S240" s="3"/>
      <c r="T240" s="3"/>
    </row>
    <row r="241" spans="6:20" ht="13" x14ac:dyDescent="0.15">
      <c r="F241" s="3"/>
      <c r="G241" s="3"/>
      <c r="H241" s="3"/>
      <c r="I241" s="3"/>
      <c r="J241" s="3"/>
      <c r="K241" s="3"/>
      <c r="L241" s="3"/>
      <c r="M241" s="3"/>
      <c r="N241" s="3"/>
      <c r="O241" s="3"/>
      <c r="S241" s="3"/>
      <c r="T241" s="3"/>
    </row>
    <row r="242" spans="6:20" ht="13" x14ac:dyDescent="0.15">
      <c r="F242" s="3"/>
      <c r="G242" s="3"/>
      <c r="H242" s="3"/>
      <c r="I242" s="3"/>
      <c r="J242" s="3"/>
      <c r="K242" s="3"/>
      <c r="L242" s="3"/>
      <c r="M242" s="3"/>
      <c r="N242" s="3"/>
      <c r="O242" s="3"/>
      <c r="S242" s="3"/>
      <c r="T242" s="3"/>
    </row>
    <row r="243" spans="6:20" ht="13" x14ac:dyDescent="0.15">
      <c r="F243" s="3"/>
      <c r="G243" s="3"/>
      <c r="H243" s="3"/>
      <c r="I243" s="3"/>
      <c r="J243" s="3"/>
      <c r="K243" s="3"/>
      <c r="L243" s="3"/>
      <c r="M243" s="3"/>
      <c r="N243" s="3"/>
      <c r="O243" s="3"/>
      <c r="S243" s="3"/>
      <c r="T243" s="3"/>
    </row>
    <row r="244" spans="6:20" ht="13" x14ac:dyDescent="0.15">
      <c r="F244" s="3"/>
      <c r="G244" s="3"/>
      <c r="H244" s="3"/>
      <c r="I244" s="3"/>
      <c r="J244" s="3"/>
      <c r="K244" s="3"/>
      <c r="L244" s="3"/>
      <c r="M244" s="3"/>
      <c r="N244" s="3"/>
      <c r="O244" s="3"/>
      <c r="S244" s="3"/>
      <c r="T244" s="3"/>
    </row>
    <row r="245" spans="6:20" ht="13" x14ac:dyDescent="0.15">
      <c r="F245" s="3"/>
      <c r="G245" s="3"/>
      <c r="H245" s="3"/>
      <c r="I245" s="3"/>
      <c r="J245" s="3"/>
      <c r="K245" s="3"/>
      <c r="L245" s="3"/>
      <c r="M245" s="3"/>
      <c r="N245" s="3"/>
      <c r="O245" s="3"/>
      <c r="S245" s="3"/>
      <c r="T245" s="3"/>
    </row>
    <row r="246" spans="6:20" ht="13" x14ac:dyDescent="0.15">
      <c r="F246" s="3"/>
      <c r="G246" s="3"/>
      <c r="H246" s="3"/>
      <c r="I246" s="3"/>
      <c r="J246" s="3"/>
      <c r="K246" s="3"/>
      <c r="L246" s="3"/>
      <c r="M246" s="3"/>
      <c r="N246" s="3"/>
      <c r="O246" s="3"/>
      <c r="S246" s="3"/>
      <c r="T246" s="3"/>
    </row>
    <row r="247" spans="6:20" ht="13" x14ac:dyDescent="0.15">
      <c r="F247" s="3"/>
      <c r="G247" s="3"/>
      <c r="H247" s="3"/>
      <c r="I247" s="3"/>
      <c r="J247" s="3"/>
      <c r="K247" s="3"/>
      <c r="L247" s="3"/>
      <c r="M247" s="3"/>
      <c r="N247" s="3"/>
      <c r="O247" s="3"/>
      <c r="S247" s="3"/>
      <c r="T247" s="3"/>
    </row>
    <row r="248" spans="6:20" ht="13" x14ac:dyDescent="0.15">
      <c r="F248" s="3"/>
      <c r="G248" s="3"/>
      <c r="H248" s="3"/>
      <c r="I248" s="3"/>
      <c r="J248" s="3"/>
      <c r="K248" s="3"/>
      <c r="L248" s="3"/>
      <c r="M248" s="3"/>
      <c r="N248" s="3"/>
      <c r="O248" s="3"/>
      <c r="S248" s="3"/>
      <c r="T248" s="3"/>
    </row>
    <row r="249" spans="6:20" ht="13" x14ac:dyDescent="0.15">
      <c r="F249" s="3"/>
      <c r="G249" s="3"/>
      <c r="H249" s="3"/>
      <c r="I249" s="3"/>
      <c r="J249" s="3"/>
      <c r="K249" s="3"/>
      <c r="L249" s="3"/>
      <c r="M249" s="3"/>
      <c r="N249" s="3"/>
      <c r="O249" s="3"/>
      <c r="S249" s="3"/>
      <c r="T249" s="3"/>
    </row>
    <row r="250" spans="6:20" ht="13" x14ac:dyDescent="0.15">
      <c r="F250" s="3"/>
      <c r="G250" s="3"/>
      <c r="H250" s="3"/>
      <c r="I250" s="3"/>
      <c r="J250" s="3"/>
      <c r="K250" s="3"/>
      <c r="L250" s="3"/>
      <c r="M250" s="3"/>
      <c r="N250" s="3"/>
      <c r="O250" s="3"/>
      <c r="S250" s="3"/>
      <c r="T250" s="3"/>
    </row>
    <row r="251" spans="6:20" ht="13" x14ac:dyDescent="0.15">
      <c r="F251" s="3"/>
      <c r="G251" s="3"/>
      <c r="H251" s="3"/>
      <c r="I251" s="3"/>
      <c r="J251" s="3"/>
      <c r="K251" s="3"/>
      <c r="L251" s="3"/>
      <c r="M251" s="3"/>
      <c r="N251" s="3"/>
      <c r="O251" s="3"/>
      <c r="S251" s="3"/>
      <c r="T251" s="3"/>
    </row>
    <row r="252" spans="6:20" ht="13" x14ac:dyDescent="0.15">
      <c r="F252" s="3"/>
      <c r="G252" s="3"/>
      <c r="H252" s="3"/>
      <c r="I252" s="3"/>
      <c r="J252" s="3"/>
      <c r="K252" s="3"/>
      <c r="L252" s="3"/>
      <c r="M252" s="3"/>
      <c r="N252" s="3"/>
      <c r="O252" s="3"/>
      <c r="S252" s="3"/>
      <c r="T252" s="3"/>
    </row>
    <row r="253" spans="6:20" ht="13" x14ac:dyDescent="0.15">
      <c r="F253" s="3"/>
      <c r="G253" s="3"/>
      <c r="H253" s="3"/>
      <c r="I253" s="3"/>
      <c r="J253" s="3"/>
      <c r="K253" s="3"/>
      <c r="L253" s="3"/>
      <c r="M253" s="3"/>
      <c r="N253" s="3"/>
      <c r="O253" s="3"/>
      <c r="S253" s="3"/>
      <c r="T253" s="3"/>
    </row>
    <row r="254" spans="6:20" ht="13" x14ac:dyDescent="0.15">
      <c r="F254" s="3"/>
      <c r="G254" s="3"/>
      <c r="H254" s="3"/>
      <c r="I254" s="3"/>
      <c r="J254" s="3"/>
      <c r="K254" s="3"/>
      <c r="L254" s="3"/>
      <c r="M254" s="3"/>
      <c r="N254" s="3"/>
      <c r="O254" s="3"/>
      <c r="S254" s="3"/>
      <c r="T254" s="3"/>
    </row>
    <row r="255" spans="6:20" ht="13" x14ac:dyDescent="0.15">
      <c r="F255" s="3"/>
      <c r="G255" s="3"/>
      <c r="H255" s="3"/>
      <c r="I255" s="3"/>
      <c r="J255" s="3"/>
      <c r="K255" s="3"/>
      <c r="L255" s="3"/>
      <c r="M255" s="3"/>
      <c r="N255" s="3"/>
      <c r="O255" s="3"/>
      <c r="S255" s="3"/>
      <c r="T255" s="3"/>
    </row>
    <row r="256" spans="6:20" ht="13" x14ac:dyDescent="0.15">
      <c r="F256" s="3"/>
      <c r="G256" s="3"/>
      <c r="H256" s="3"/>
      <c r="I256" s="3"/>
      <c r="J256" s="3"/>
      <c r="K256" s="3"/>
      <c r="L256" s="3"/>
      <c r="M256" s="3"/>
      <c r="N256" s="3"/>
      <c r="O256" s="3"/>
      <c r="S256" s="3"/>
      <c r="T256" s="3"/>
    </row>
    <row r="257" spans="6:20" ht="13" x14ac:dyDescent="0.15">
      <c r="F257" s="3"/>
      <c r="G257" s="3"/>
      <c r="H257" s="3"/>
      <c r="I257" s="3"/>
      <c r="J257" s="3"/>
      <c r="K257" s="3"/>
      <c r="L257" s="3"/>
      <c r="M257" s="3"/>
      <c r="N257" s="3"/>
      <c r="O257" s="3"/>
      <c r="S257" s="3"/>
      <c r="T257" s="3"/>
    </row>
    <row r="258" spans="6:20" ht="13" x14ac:dyDescent="0.15">
      <c r="F258" s="3"/>
      <c r="G258" s="3"/>
      <c r="H258" s="3"/>
      <c r="I258" s="3"/>
      <c r="J258" s="3"/>
      <c r="K258" s="3"/>
      <c r="L258" s="3"/>
      <c r="M258" s="3"/>
      <c r="N258" s="3"/>
      <c r="O258" s="3"/>
      <c r="S258" s="3"/>
      <c r="T258" s="3"/>
    </row>
    <row r="259" spans="6:20" ht="13" x14ac:dyDescent="0.15">
      <c r="F259" s="3"/>
      <c r="G259" s="3"/>
      <c r="H259" s="3"/>
      <c r="I259" s="3"/>
      <c r="J259" s="3"/>
      <c r="K259" s="3"/>
      <c r="L259" s="3"/>
      <c r="M259" s="3"/>
      <c r="N259" s="3"/>
      <c r="O259" s="3"/>
      <c r="S259" s="3"/>
      <c r="T259" s="3"/>
    </row>
    <row r="260" spans="6:20" ht="13" x14ac:dyDescent="0.15">
      <c r="F260" s="3"/>
      <c r="G260" s="3"/>
      <c r="H260" s="3"/>
      <c r="I260" s="3"/>
      <c r="J260" s="3"/>
      <c r="K260" s="3"/>
      <c r="L260" s="3"/>
      <c r="M260" s="3"/>
      <c r="N260" s="3"/>
      <c r="O260" s="3"/>
      <c r="S260" s="3"/>
      <c r="T260" s="3"/>
    </row>
    <row r="261" spans="6:20" ht="13" x14ac:dyDescent="0.15">
      <c r="F261" s="3"/>
      <c r="G261" s="3"/>
      <c r="H261" s="3"/>
      <c r="I261" s="3"/>
      <c r="J261" s="3"/>
      <c r="K261" s="3"/>
      <c r="L261" s="3"/>
      <c r="M261" s="3"/>
      <c r="N261" s="3"/>
      <c r="O261" s="3"/>
      <c r="S261" s="3"/>
      <c r="T261" s="3"/>
    </row>
    <row r="262" spans="6:20" ht="13" x14ac:dyDescent="0.15">
      <c r="F262" s="3"/>
      <c r="G262" s="3"/>
      <c r="H262" s="3"/>
      <c r="I262" s="3"/>
      <c r="J262" s="3"/>
      <c r="K262" s="3"/>
      <c r="L262" s="3"/>
      <c r="M262" s="3"/>
      <c r="N262" s="3"/>
      <c r="O262" s="3"/>
      <c r="S262" s="3"/>
      <c r="T262" s="3"/>
    </row>
    <row r="263" spans="6:20" ht="13" x14ac:dyDescent="0.15">
      <c r="F263" s="3"/>
      <c r="G263" s="3"/>
      <c r="H263" s="3"/>
      <c r="I263" s="3"/>
      <c r="J263" s="3"/>
      <c r="K263" s="3"/>
      <c r="L263" s="3"/>
      <c r="M263" s="3"/>
      <c r="N263" s="3"/>
      <c r="O263" s="3"/>
      <c r="S263" s="3"/>
      <c r="T263" s="3"/>
    </row>
    <row r="264" spans="6:20" ht="13" x14ac:dyDescent="0.15">
      <c r="F264" s="3"/>
      <c r="G264" s="3"/>
      <c r="H264" s="3"/>
      <c r="I264" s="3"/>
      <c r="J264" s="3"/>
      <c r="K264" s="3"/>
      <c r="L264" s="3"/>
      <c r="M264" s="3"/>
      <c r="N264" s="3"/>
      <c r="O264" s="3"/>
      <c r="S264" s="3"/>
      <c r="T264" s="3"/>
    </row>
    <row r="265" spans="6:20" ht="13" x14ac:dyDescent="0.15">
      <c r="F265" s="3"/>
      <c r="G265" s="3"/>
      <c r="H265" s="3"/>
      <c r="I265" s="3"/>
      <c r="J265" s="3"/>
      <c r="K265" s="3"/>
      <c r="L265" s="3"/>
      <c r="M265" s="3"/>
      <c r="N265" s="3"/>
      <c r="O265" s="3"/>
      <c r="S265" s="3"/>
      <c r="T265" s="3"/>
    </row>
    <row r="266" spans="6:20" ht="13" x14ac:dyDescent="0.15">
      <c r="F266" s="3"/>
      <c r="G266" s="3"/>
      <c r="H266" s="3"/>
      <c r="I266" s="3"/>
      <c r="J266" s="3"/>
      <c r="K266" s="3"/>
      <c r="L266" s="3"/>
      <c r="M266" s="3"/>
      <c r="N266" s="3"/>
      <c r="O266" s="3"/>
      <c r="S266" s="3"/>
      <c r="T266" s="3"/>
    </row>
    <row r="267" spans="6:20" ht="13" x14ac:dyDescent="0.15">
      <c r="F267" s="3"/>
      <c r="G267" s="3"/>
      <c r="H267" s="3"/>
      <c r="I267" s="3"/>
      <c r="J267" s="3"/>
      <c r="K267" s="3"/>
      <c r="L267" s="3"/>
      <c r="M267" s="3"/>
      <c r="N267" s="3"/>
      <c r="O267" s="3"/>
      <c r="S267" s="3"/>
      <c r="T267" s="3"/>
    </row>
    <row r="268" spans="6:20" ht="13" x14ac:dyDescent="0.15">
      <c r="F268" s="3"/>
      <c r="G268" s="3"/>
      <c r="H268" s="3"/>
      <c r="I268" s="3"/>
      <c r="J268" s="3"/>
      <c r="K268" s="3"/>
      <c r="L268" s="3"/>
      <c r="M268" s="3"/>
      <c r="N268" s="3"/>
      <c r="O268" s="3"/>
      <c r="S268" s="3"/>
      <c r="T268" s="3"/>
    </row>
    <row r="269" spans="6:20" ht="13" x14ac:dyDescent="0.15">
      <c r="F269" s="3"/>
      <c r="G269" s="3"/>
      <c r="H269" s="3"/>
      <c r="I269" s="3"/>
      <c r="J269" s="3"/>
      <c r="K269" s="3"/>
      <c r="L269" s="3"/>
      <c r="M269" s="3"/>
      <c r="N269" s="3"/>
      <c r="O269" s="3"/>
      <c r="S269" s="3"/>
      <c r="T269" s="3"/>
    </row>
    <row r="270" spans="6:20" ht="13" x14ac:dyDescent="0.15">
      <c r="F270" s="3"/>
      <c r="G270" s="3"/>
      <c r="H270" s="3"/>
      <c r="I270" s="3"/>
      <c r="J270" s="3"/>
      <c r="K270" s="3"/>
      <c r="L270" s="3"/>
      <c r="M270" s="3"/>
      <c r="N270" s="3"/>
      <c r="O270" s="3"/>
      <c r="S270" s="3"/>
      <c r="T270" s="3"/>
    </row>
    <row r="271" spans="6:20" ht="13" x14ac:dyDescent="0.15">
      <c r="F271" s="3"/>
      <c r="G271" s="3"/>
      <c r="H271" s="3"/>
      <c r="I271" s="3"/>
      <c r="J271" s="3"/>
      <c r="K271" s="3"/>
      <c r="L271" s="3"/>
      <c r="M271" s="3"/>
      <c r="N271" s="3"/>
      <c r="O271" s="3"/>
      <c r="S271" s="3"/>
      <c r="T271" s="3"/>
    </row>
    <row r="272" spans="6:20" ht="13" x14ac:dyDescent="0.15">
      <c r="F272" s="3"/>
      <c r="G272" s="3"/>
      <c r="H272" s="3"/>
      <c r="I272" s="3"/>
      <c r="J272" s="3"/>
      <c r="K272" s="3"/>
      <c r="L272" s="3"/>
      <c r="M272" s="3"/>
      <c r="N272" s="3"/>
      <c r="O272" s="3"/>
      <c r="S272" s="3"/>
      <c r="T272" s="3"/>
    </row>
    <row r="273" spans="6:20" ht="13" x14ac:dyDescent="0.15">
      <c r="F273" s="3"/>
      <c r="G273" s="3"/>
      <c r="H273" s="3"/>
      <c r="I273" s="3"/>
      <c r="J273" s="3"/>
      <c r="K273" s="3"/>
      <c r="L273" s="3"/>
      <c r="M273" s="3"/>
      <c r="N273" s="3"/>
      <c r="O273" s="3"/>
      <c r="S273" s="3"/>
      <c r="T273" s="3"/>
    </row>
    <row r="274" spans="6:20" ht="13" x14ac:dyDescent="0.15">
      <c r="F274" s="3"/>
      <c r="G274" s="3"/>
      <c r="H274" s="3"/>
      <c r="I274" s="3"/>
      <c r="J274" s="3"/>
      <c r="K274" s="3"/>
      <c r="L274" s="3"/>
      <c r="M274" s="3"/>
      <c r="N274" s="3"/>
      <c r="O274" s="3"/>
      <c r="S274" s="3"/>
      <c r="T274" s="3"/>
    </row>
    <row r="275" spans="6:20" ht="13" x14ac:dyDescent="0.15">
      <c r="F275" s="3"/>
      <c r="G275" s="3"/>
      <c r="H275" s="3"/>
      <c r="I275" s="3"/>
      <c r="J275" s="3"/>
      <c r="K275" s="3"/>
      <c r="L275" s="3"/>
      <c r="M275" s="3"/>
      <c r="N275" s="3"/>
      <c r="O275" s="3"/>
      <c r="S275" s="3"/>
      <c r="T275" s="3"/>
    </row>
    <row r="276" spans="6:20" ht="13" x14ac:dyDescent="0.15">
      <c r="F276" s="3"/>
      <c r="G276" s="3"/>
      <c r="H276" s="3"/>
      <c r="I276" s="3"/>
      <c r="J276" s="3"/>
      <c r="K276" s="3"/>
      <c r="L276" s="3"/>
      <c r="M276" s="3"/>
      <c r="N276" s="3"/>
      <c r="O276" s="3"/>
      <c r="S276" s="3"/>
      <c r="T276" s="3"/>
    </row>
    <row r="277" spans="6:20" ht="13" x14ac:dyDescent="0.15">
      <c r="F277" s="3"/>
      <c r="G277" s="3"/>
      <c r="H277" s="3"/>
      <c r="I277" s="3"/>
      <c r="J277" s="3"/>
      <c r="K277" s="3"/>
      <c r="L277" s="3"/>
      <c r="M277" s="3"/>
      <c r="N277" s="3"/>
      <c r="O277" s="3"/>
      <c r="S277" s="3"/>
      <c r="T277" s="3"/>
    </row>
    <row r="278" spans="6:20" ht="13" x14ac:dyDescent="0.15">
      <c r="F278" s="3"/>
      <c r="G278" s="3"/>
      <c r="H278" s="3"/>
      <c r="I278" s="3"/>
      <c r="J278" s="3"/>
      <c r="K278" s="3"/>
      <c r="L278" s="3"/>
      <c r="M278" s="3"/>
      <c r="N278" s="3"/>
      <c r="O278" s="3"/>
      <c r="S278" s="3"/>
      <c r="T278" s="3"/>
    </row>
    <row r="279" spans="6:20" ht="13" x14ac:dyDescent="0.15">
      <c r="F279" s="3"/>
      <c r="G279" s="3"/>
      <c r="H279" s="3"/>
      <c r="I279" s="3"/>
      <c r="J279" s="3"/>
      <c r="K279" s="3"/>
      <c r="L279" s="3"/>
      <c r="M279" s="3"/>
      <c r="N279" s="3"/>
      <c r="O279" s="3"/>
      <c r="S279" s="3"/>
      <c r="T279" s="3"/>
    </row>
    <row r="280" spans="6:20" ht="13" x14ac:dyDescent="0.15">
      <c r="F280" s="3"/>
      <c r="G280" s="3"/>
      <c r="H280" s="3"/>
      <c r="I280" s="3"/>
      <c r="J280" s="3"/>
      <c r="K280" s="3"/>
      <c r="L280" s="3"/>
      <c r="M280" s="3"/>
      <c r="N280" s="3"/>
      <c r="O280" s="3"/>
      <c r="S280" s="3"/>
      <c r="T280" s="3"/>
    </row>
    <row r="281" spans="6:20" ht="13" x14ac:dyDescent="0.15">
      <c r="F281" s="3"/>
      <c r="G281" s="3"/>
      <c r="H281" s="3"/>
      <c r="I281" s="3"/>
      <c r="J281" s="3"/>
      <c r="K281" s="3"/>
      <c r="L281" s="3"/>
      <c r="M281" s="3"/>
      <c r="N281" s="3"/>
      <c r="O281" s="3"/>
      <c r="S281" s="3"/>
      <c r="T281" s="3"/>
    </row>
    <row r="282" spans="6:20" ht="13" x14ac:dyDescent="0.15">
      <c r="F282" s="3"/>
      <c r="G282" s="3"/>
      <c r="H282" s="3"/>
      <c r="I282" s="3"/>
      <c r="J282" s="3"/>
      <c r="K282" s="3"/>
      <c r="L282" s="3"/>
      <c r="M282" s="3"/>
      <c r="N282" s="3"/>
      <c r="O282" s="3"/>
      <c r="S282" s="3"/>
      <c r="T282" s="3"/>
    </row>
    <row r="283" spans="6:20" ht="13" x14ac:dyDescent="0.15">
      <c r="F283" s="3"/>
      <c r="G283" s="3"/>
      <c r="H283" s="3"/>
      <c r="I283" s="3"/>
      <c r="J283" s="3"/>
      <c r="K283" s="3"/>
      <c r="L283" s="3"/>
      <c r="M283" s="3"/>
      <c r="N283" s="3"/>
      <c r="O283" s="3"/>
      <c r="S283" s="3"/>
      <c r="T283" s="3"/>
    </row>
    <row r="284" spans="6:20" ht="13" x14ac:dyDescent="0.15">
      <c r="F284" s="3"/>
      <c r="G284" s="3"/>
      <c r="H284" s="3"/>
      <c r="I284" s="3"/>
      <c r="J284" s="3"/>
      <c r="K284" s="3"/>
      <c r="L284" s="3"/>
      <c r="M284" s="3"/>
      <c r="N284" s="3"/>
      <c r="O284" s="3"/>
      <c r="S284" s="3"/>
      <c r="T284" s="3"/>
    </row>
    <row r="285" spans="6:20" ht="13" x14ac:dyDescent="0.15">
      <c r="F285" s="3"/>
      <c r="G285" s="3"/>
      <c r="H285" s="3"/>
      <c r="I285" s="3"/>
      <c r="J285" s="3"/>
      <c r="K285" s="3"/>
      <c r="L285" s="3"/>
      <c r="M285" s="3"/>
      <c r="N285" s="3"/>
      <c r="O285" s="3"/>
      <c r="S285" s="3"/>
      <c r="T285" s="3"/>
    </row>
    <row r="286" spans="6:20" ht="13" x14ac:dyDescent="0.15">
      <c r="F286" s="3"/>
      <c r="G286" s="3"/>
      <c r="H286" s="3"/>
      <c r="I286" s="3"/>
      <c r="J286" s="3"/>
      <c r="K286" s="3"/>
      <c r="L286" s="3"/>
      <c r="M286" s="3"/>
      <c r="N286" s="3"/>
      <c r="O286" s="3"/>
      <c r="S286" s="3"/>
      <c r="T286" s="3"/>
    </row>
    <row r="287" spans="6:20" ht="13" x14ac:dyDescent="0.15">
      <c r="F287" s="3"/>
      <c r="G287" s="3"/>
      <c r="H287" s="3"/>
      <c r="I287" s="3"/>
      <c r="J287" s="3"/>
      <c r="K287" s="3"/>
      <c r="L287" s="3"/>
      <c r="M287" s="3"/>
      <c r="N287" s="3"/>
      <c r="O287" s="3"/>
      <c r="S287" s="3"/>
      <c r="T287" s="3"/>
    </row>
    <row r="288" spans="6:20" ht="13" x14ac:dyDescent="0.15">
      <c r="F288" s="3"/>
      <c r="G288" s="3"/>
      <c r="H288" s="3"/>
      <c r="I288" s="3"/>
      <c r="J288" s="3"/>
      <c r="K288" s="3"/>
      <c r="L288" s="3"/>
      <c r="M288" s="3"/>
      <c r="N288" s="3"/>
      <c r="O288" s="3"/>
      <c r="S288" s="3"/>
      <c r="T288" s="3"/>
    </row>
    <row r="289" spans="6:20" ht="13" x14ac:dyDescent="0.15">
      <c r="F289" s="3"/>
      <c r="G289" s="3"/>
      <c r="H289" s="3"/>
      <c r="I289" s="3"/>
      <c r="J289" s="3"/>
      <c r="K289" s="3"/>
      <c r="L289" s="3"/>
      <c r="M289" s="3"/>
      <c r="N289" s="3"/>
      <c r="O289" s="3"/>
      <c r="S289" s="3"/>
      <c r="T289" s="3"/>
    </row>
    <row r="290" spans="6:20" ht="13" x14ac:dyDescent="0.15">
      <c r="F290" s="3"/>
      <c r="G290" s="3"/>
      <c r="H290" s="3"/>
      <c r="I290" s="3"/>
      <c r="J290" s="3"/>
      <c r="K290" s="3"/>
      <c r="L290" s="3"/>
      <c r="M290" s="3"/>
      <c r="N290" s="3"/>
      <c r="O290" s="3"/>
      <c r="S290" s="3"/>
      <c r="T290" s="3"/>
    </row>
    <row r="291" spans="6:20" ht="13" x14ac:dyDescent="0.15">
      <c r="F291" s="3"/>
      <c r="G291" s="3"/>
      <c r="H291" s="3"/>
      <c r="I291" s="3"/>
      <c r="J291" s="3"/>
      <c r="K291" s="3"/>
      <c r="L291" s="3"/>
      <c r="M291" s="3"/>
      <c r="N291" s="3"/>
      <c r="O291" s="3"/>
      <c r="S291" s="3"/>
      <c r="T291" s="3"/>
    </row>
    <row r="292" spans="6:20" ht="13" x14ac:dyDescent="0.15">
      <c r="F292" s="3"/>
      <c r="G292" s="3"/>
      <c r="H292" s="3"/>
      <c r="I292" s="3"/>
      <c r="J292" s="3"/>
      <c r="K292" s="3"/>
      <c r="L292" s="3"/>
      <c r="M292" s="3"/>
      <c r="N292" s="3"/>
      <c r="O292" s="3"/>
      <c r="S292" s="3"/>
      <c r="T292" s="3"/>
    </row>
    <row r="293" spans="6:20" ht="13" x14ac:dyDescent="0.15">
      <c r="F293" s="3"/>
      <c r="G293" s="3"/>
      <c r="H293" s="3"/>
      <c r="I293" s="3"/>
      <c r="J293" s="3"/>
      <c r="K293" s="3"/>
      <c r="L293" s="3"/>
      <c r="M293" s="3"/>
      <c r="N293" s="3"/>
      <c r="O293" s="3"/>
      <c r="S293" s="3"/>
      <c r="T293" s="3"/>
    </row>
    <row r="294" spans="6:20" ht="13" x14ac:dyDescent="0.15">
      <c r="F294" s="3"/>
      <c r="G294" s="3"/>
      <c r="H294" s="3"/>
      <c r="I294" s="3"/>
      <c r="J294" s="3"/>
      <c r="K294" s="3"/>
      <c r="L294" s="3"/>
      <c r="M294" s="3"/>
      <c r="N294" s="3"/>
      <c r="O294" s="3"/>
      <c r="S294" s="3"/>
      <c r="T294" s="3"/>
    </row>
    <row r="295" spans="6:20" ht="13" x14ac:dyDescent="0.15">
      <c r="F295" s="3"/>
      <c r="G295" s="3"/>
      <c r="H295" s="3"/>
      <c r="I295" s="3"/>
      <c r="J295" s="3"/>
      <c r="K295" s="3"/>
      <c r="L295" s="3"/>
      <c r="M295" s="3"/>
      <c r="N295" s="3"/>
      <c r="O295" s="3"/>
      <c r="S295" s="3"/>
      <c r="T295" s="3"/>
    </row>
    <row r="296" spans="6:20" ht="13" x14ac:dyDescent="0.15">
      <c r="F296" s="3"/>
      <c r="G296" s="3"/>
      <c r="H296" s="3"/>
      <c r="I296" s="3"/>
      <c r="J296" s="3"/>
      <c r="K296" s="3"/>
      <c r="L296" s="3"/>
      <c r="M296" s="3"/>
      <c r="N296" s="3"/>
      <c r="O296" s="3"/>
      <c r="S296" s="3"/>
      <c r="T296" s="3"/>
    </row>
    <row r="297" spans="6:20" ht="13" x14ac:dyDescent="0.15">
      <c r="F297" s="3"/>
      <c r="G297" s="3"/>
      <c r="H297" s="3"/>
      <c r="I297" s="3"/>
      <c r="J297" s="3"/>
      <c r="K297" s="3"/>
      <c r="L297" s="3"/>
      <c r="M297" s="3"/>
      <c r="N297" s="3"/>
      <c r="O297" s="3"/>
      <c r="S297" s="3"/>
      <c r="T297" s="3"/>
    </row>
    <row r="298" spans="6:20" ht="13" x14ac:dyDescent="0.15">
      <c r="F298" s="3"/>
      <c r="G298" s="3"/>
      <c r="H298" s="3"/>
      <c r="I298" s="3"/>
      <c r="J298" s="3"/>
      <c r="K298" s="3"/>
      <c r="L298" s="3"/>
      <c r="M298" s="3"/>
      <c r="N298" s="3"/>
      <c r="O298" s="3"/>
      <c r="S298" s="3"/>
      <c r="T298" s="3"/>
    </row>
    <row r="299" spans="6:20" ht="13" x14ac:dyDescent="0.15">
      <c r="F299" s="3"/>
      <c r="G299" s="3"/>
      <c r="H299" s="3"/>
      <c r="I299" s="3"/>
      <c r="J299" s="3"/>
      <c r="K299" s="3"/>
      <c r="L299" s="3"/>
      <c r="M299" s="3"/>
      <c r="N299" s="3"/>
      <c r="O299" s="3"/>
      <c r="S299" s="3"/>
      <c r="T299" s="3"/>
    </row>
    <row r="300" spans="6:20" ht="13" x14ac:dyDescent="0.15">
      <c r="F300" s="3"/>
      <c r="G300" s="3"/>
      <c r="H300" s="3"/>
      <c r="I300" s="3"/>
      <c r="J300" s="3"/>
      <c r="K300" s="3"/>
      <c r="L300" s="3"/>
      <c r="M300" s="3"/>
      <c r="N300" s="3"/>
      <c r="O300" s="3"/>
      <c r="S300" s="3"/>
      <c r="T300" s="3"/>
    </row>
    <row r="301" spans="6:20" ht="13" x14ac:dyDescent="0.15">
      <c r="F301" s="3"/>
      <c r="G301" s="3"/>
      <c r="H301" s="3"/>
      <c r="I301" s="3"/>
      <c r="J301" s="3"/>
      <c r="K301" s="3"/>
      <c r="L301" s="3"/>
      <c r="M301" s="3"/>
      <c r="N301" s="3"/>
      <c r="O301" s="3"/>
      <c r="S301" s="3"/>
      <c r="T301" s="3"/>
    </row>
    <row r="302" spans="6:20" ht="13" x14ac:dyDescent="0.15">
      <c r="F302" s="3"/>
      <c r="G302" s="3"/>
      <c r="H302" s="3"/>
      <c r="I302" s="3"/>
      <c r="J302" s="3"/>
      <c r="K302" s="3"/>
      <c r="L302" s="3"/>
      <c r="M302" s="3"/>
      <c r="N302" s="3"/>
      <c r="O302" s="3"/>
      <c r="S302" s="3"/>
      <c r="T302" s="3"/>
    </row>
    <row r="303" spans="6:20" ht="13" x14ac:dyDescent="0.15">
      <c r="F303" s="3"/>
      <c r="G303" s="3"/>
      <c r="H303" s="3"/>
      <c r="I303" s="3"/>
      <c r="J303" s="3"/>
      <c r="K303" s="3"/>
      <c r="L303" s="3"/>
      <c r="M303" s="3"/>
      <c r="N303" s="3"/>
      <c r="O303" s="3"/>
      <c r="S303" s="3"/>
      <c r="T303" s="3"/>
    </row>
    <row r="304" spans="6:20" ht="13" x14ac:dyDescent="0.15">
      <c r="F304" s="3"/>
      <c r="G304" s="3"/>
      <c r="H304" s="3"/>
      <c r="I304" s="3"/>
      <c r="J304" s="3"/>
      <c r="K304" s="3"/>
      <c r="L304" s="3"/>
      <c r="M304" s="3"/>
      <c r="N304" s="3"/>
      <c r="O304" s="3"/>
      <c r="S304" s="3"/>
      <c r="T304" s="3"/>
    </row>
    <row r="305" spans="6:20" ht="13" x14ac:dyDescent="0.15">
      <c r="F305" s="3"/>
      <c r="G305" s="3"/>
      <c r="H305" s="3"/>
      <c r="I305" s="3"/>
      <c r="J305" s="3"/>
      <c r="K305" s="3"/>
      <c r="L305" s="3"/>
      <c r="M305" s="3"/>
      <c r="N305" s="3"/>
      <c r="O305" s="3"/>
      <c r="S305" s="3"/>
      <c r="T305" s="3"/>
    </row>
    <row r="306" spans="6:20" ht="13" x14ac:dyDescent="0.15">
      <c r="F306" s="3"/>
      <c r="G306" s="3"/>
      <c r="H306" s="3"/>
      <c r="I306" s="3"/>
      <c r="J306" s="3"/>
      <c r="K306" s="3"/>
      <c r="L306" s="3"/>
      <c r="M306" s="3"/>
      <c r="N306" s="3"/>
      <c r="O306" s="3"/>
      <c r="S306" s="3"/>
      <c r="T306" s="3"/>
    </row>
    <row r="307" spans="6:20" ht="13" x14ac:dyDescent="0.15">
      <c r="F307" s="3"/>
      <c r="G307" s="3"/>
      <c r="H307" s="3"/>
      <c r="I307" s="3"/>
      <c r="J307" s="3"/>
      <c r="K307" s="3"/>
      <c r="L307" s="3"/>
      <c r="M307" s="3"/>
      <c r="N307" s="3"/>
      <c r="O307" s="3"/>
      <c r="S307" s="3"/>
      <c r="T307" s="3"/>
    </row>
    <row r="308" spans="6:20" ht="13" x14ac:dyDescent="0.15">
      <c r="F308" s="3"/>
      <c r="G308" s="3"/>
      <c r="H308" s="3"/>
      <c r="I308" s="3"/>
      <c r="J308" s="3"/>
      <c r="K308" s="3"/>
      <c r="L308" s="3"/>
      <c r="M308" s="3"/>
      <c r="N308" s="3"/>
      <c r="O308" s="3"/>
      <c r="S308" s="3"/>
      <c r="T308" s="3"/>
    </row>
    <row r="309" spans="6:20" ht="13" x14ac:dyDescent="0.15">
      <c r="F309" s="3"/>
      <c r="G309" s="3"/>
      <c r="H309" s="3"/>
      <c r="I309" s="3"/>
      <c r="J309" s="3"/>
      <c r="K309" s="3"/>
      <c r="L309" s="3"/>
      <c r="M309" s="3"/>
      <c r="N309" s="3"/>
      <c r="O309" s="3"/>
      <c r="S309" s="3"/>
      <c r="T309" s="3"/>
    </row>
    <row r="310" spans="6:20" ht="13" x14ac:dyDescent="0.15">
      <c r="F310" s="3"/>
      <c r="G310" s="3"/>
      <c r="H310" s="3"/>
      <c r="I310" s="3"/>
      <c r="J310" s="3"/>
      <c r="K310" s="3"/>
      <c r="L310" s="3"/>
      <c r="M310" s="3"/>
      <c r="N310" s="3"/>
      <c r="O310" s="3"/>
      <c r="S310" s="3"/>
      <c r="T310" s="3"/>
    </row>
    <row r="311" spans="6:20" ht="13" x14ac:dyDescent="0.15">
      <c r="F311" s="3"/>
      <c r="G311" s="3"/>
      <c r="H311" s="3"/>
      <c r="I311" s="3"/>
      <c r="J311" s="3"/>
      <c r="K311" s="3"/>
      <c r="L311" s="3"/>
      <c r="M311" s="3"/>
      <c r="N311" s="3"/>
      <c r="O311" s="3"/>
      <c r="S311" s="3"/>
      <c r="T311" s="3"/>
    </row>
    <row r="312" spans="6:20" ht="13" x14ac:dyDescent="0.15">
      <c r="F312" s="3"/>
      <c r="G312" s="3"/>
      <c r="H312" s="3"/>
      <c r="I312" s="3"/>
      <c r="J312" s="3"/>
      <c r="K312" s="3"/>
      <c r="L312" s="3"/>
      <c r="M312" s="3"/>
      <c r="N312" s="3"/>
      <c r="O312" s="3"/>
      <c r="S312" s="3"/>
      <c r="T312" s="3"/>
    </row>
    <row r="313" spans="6:20" ht="13" x14ac:dyDescent="0.15">
      <c r="F313" s="3"/>
      <c r="G313" s="3"/>
      <c r="H313" s="3"/>
      <c r="I313" s="3"/>
      <c r="J313" s="3"/>
      <c r="K313" s="3"/>
      <c r="L313" s="3"/>
      <c r="M313" s="3"/>
      <c r="N313" s="3"/>
      <c r="O313" s="3"/>
      <c r="S313" s="3"/>
      <c r="T313" s="3"/>
    </row>
    <row r="314" spans="6:20" ht="13" x14ac:dyDescent="0.15">
      <c r="F314" s="3"/>
      <c r="G314" s="3"/>
      <c r="H314" s="3"/>
      <c r="I314" s="3"/>
      <c r="J314" s="3"/>
      <c r="K314" s="3"/>
      <c r="L314" s="3"/>
      <c r="M314" s="3"/>
      <c r="N314" s="3"/>
      <c r="O314" s="3"/>
      <c r="S314" s="3"/>
      <c r="T314" s="3"/>
    </row>
    <row r="315" spans="6:20" ht="13" x14ac:dyDescent="0.15">
      <c r="F315" s="3"/>
      <c r="G315" s="3"/>
      <c r="H315" s="3"/>
      <c r="I315" s="3"/>
      <c r="J315" s="3"/>
      <c r="K315" s="3"/>
      <c r="L315" s="3"/>
      <c r="M315" s="3"/>
      <c r="N315" s="3"/>
      <c r="O315" s="3"/>
      <c r="S315" s="3"/>
      <c r="T315" s="3"/>
    </row>
    <row r="316" spans="6:20" ht="13" x14ac:dyDescent="0.15">
      <c r="F316" s="3"/>
      <c r="G316" s="3"/>
      <c r="H316" s="3"/>
      <c r="I316" s="3"/>
      <c r="J316" s="3"/>
      <c r="K316" s="3"/>
      <c r="L316" s="3"/>
      <c r="M316" s="3"/>
      <c r="N316" s="3"/>
      <c r="O316" s="3"/>
      <c r="S316" s="3"/>
      <c r="T316" s="3"/>
    </row>
    <row r="317" spans="6:20" ht="13" x14ac:dyDescent="0.15">
      <c r="F317" s="3"/>
      <c r="G317" s="3"/>
      <c r="H317" s="3"/>
      <c r="I317" s="3"/>
      <c r="J317" s="3"/>
      <c r="K317" s="3"/>
      <c r="L317" s="3"/>
      <c r="M317" s="3"/>
      <c r="N317" s="3"/>
      <c r="O317" s="3"/>
      <c r="S317" s="3"/>
      <c r="T317" s="3"/>
    </row>
    <row r="318" spans="6:20" ht="13" x14ac:dyDescent="0.15">
      <c r="F318" s="3"/>
      <c r="G318" s="3"/>
      <c r="H318" s="3"/>
      <c r="I318" s="3"/>
      <c r="J318" s="3"/>
      <c r="K318" s="3"/>
      <c r="L318" s="3"/>
      <c r="M318" s="3"/>
      <c r="N318" s="3"/>
      <c r="O318" s="3"/>
      <c r="S318" s="3"/>
      <c r="T318" s="3"/>
    </row>
    <row r="319" spans="6:20" ht="13" x14ac:dyDescent="0.15">
      <c r="F319" s="3"/>
      <c r="G319" s="3"/>
      <c r="H319" s="3"/>
      <c r="I319" s="3"/>
      <c r="J319" s="3"/>
      <c r="K319" s="3"/>
      <c r="L319" s="3"/>
      <c r="M319" s="3"/>
      <c r="N319" s="3"/>
      <c r="O319" s="3"/>
      <c r="S319" s="3"/>
      <c r="T319" s="3"/>
    </row>
    <row r="320" spans="6:20" ht="13" x14ac:dyDescent="0.15">
      <c r="F320" s="3"/>
      <c r="G320" s="3"/>
      <c r="H320" s="3"/>
      <c r="I320" s="3"/>
      <c r="J320" s="3"/>
      <c r="K320" s="3"/>
      <c r="L320" s="3"/>
      <c r="M320" s="3"/>
      <c r="N320" s="3"/>
      <c r="O320" s="3"/>
      <c r="S320" s="3"/>
      <c r="T320" s="3"/>
    </row>
    <row r="321" spans="6:20" ht="13" x14ac:dyDescent="0.15">
      <c r="F321" s="3"/>
      <c r="G321" s="3"/>
      <c r="H321" s="3"/>
      <c r="I321" s="3"/>
      <c r="J321" s="3"/>
      <c r="K321" s="3"/>
      <c r="L321" s="3"/>
      <c r="M321" s="3"/>
      <c r="N321" s="3"/>
      <c r="O321" s="3"/>
      <c r="S321" s="3"/>
      <c r="T321" s="3"/>
    </row>
    <row r="322" spans="6:20" ht="13" x14ac:dyDescent="0.15">
      <c r="F322" s="3"/>
      <c r="G322" s="3"/>
      <c r="H322" s="3"/>
      <c r="I322" s="3"/>
      <c r="J322" s="3"/>
      <c r="K322" s="3"/>
      <c r="L322" s="3"/>
      <c r="M322" s="3"/>
      <c r="N322" s="3"/>
      <c r="O322" s="3"/>
      <c r="S322" s="3"/>
      <c r="T322" s="3"/>
    </row>
    <row r="323" spans="6:20" ht="13" x14ac:dyDescent="0.15">
      <c r="F323" s="3"/>
      <c r="G323" s="3"/>
      <c r="H323" s="3"/>
      <c r="I323" s="3"/>
      <c r="J323" s="3"/>
      <c r="K323" s="3"/>
      <c r="L323" s="3"/>
      <c r="M323" s="3"/>
      <c r="N323" s="3"/>
      <c r="O323" s="3"/>
      <c r="S323" s="3"/>
      <c r="T323" s="3"/>
    </row>
    <row r="324" spans="6:20" ht="13" x14ac:dyDescent="0.15">
      <c r="F324" s="3"/>
      <c r="G324" s="3"/>
      <c r="H324" s="3"/>
      <c r="I324" s="3"/>
      <c r="J324" s="3"/>
      <c r="K324" s="3"/>
      <c r="L324" s="3"/>
      <c r="M324" s="3"/>
      <c r="N324" s="3"/>
      <c r="O324" s="3"/>
      <c r="S324" s="3"/>
      <c r="T324" s="3"/>
    </row>
    <row r="325" spans="6:20" ht="13" x14ac:dyDescent="0.15">
      <c r="F325" s="3"/>
      <c r="G325" s="3"/>
      <c r="H325" s="3"/>
      <c r="I325" s="3"/>
      <c r="J325" s="3"/>
      <c r="K325" s="3"/>
      <c r="L325" s="3"/>
      <c r="M325" s="3"/>
      <c r="N325" s="3"/>
      <c r="O325" s="3"/>
      <c r="S325" s="3"/>
      <c r="T325" s="3"/>
    </row>
    <row r="326" spans="6:20" ht="13" x14ac:dyDescent="0.15">
      <c r="F326" s="3"/>
      <c r="G326" s="3"/>
      <c r="H326" s="3"/>
      <c r="I326" s="3"/>
      <c r="J326" s="3"/>
      <c r="K326" s="3"/>
      <c r="L326" s="3"/>
      <c r="M326" s="3"/>
      <c r="N326" s="3"/>
      <c r="O326" s="3"/>
      <c r="S326" s="3"/>
      <c r="T326" s="3"/>
    </row>
    <row r="327" spans="6:20" ht="13" x14ac:dyDescent="0.15">
      <c r="F327" s="3"/>
      <c r="G327" s="3"/>
      <c r="H327" s="3"/>
      <c r="I327" s="3"/>
      <c r="J327" s="3"/>
      <c r="K327" s="3"/>
      <c r="L327" s="3"/>
      <c r="M327" s="3"/>
      <c r="N327" s="3"/>
      <c r="O327" s="3"/>
      <c r="S327" s="3"/>
      <c r="T327" s="3"/>
    </row>
    <row r="328" spans="6:20" ht="13" x14ac:dyDescent="0.15">
      <c r="F328" s="3"/>
      <c r="G328" s="3"/>
      <c r="H328" s="3"/>
      <c r="I328" s="3"/>
      <c r="J328" s="3"/>
      <c r="K328" s="3"/>
      <c r="L328" s="3"/>
      <c r="M328" s="3"/>
      <c r="N328" s="3"/>
      <c r="O328" s="3"/>
      <c r="S328" s="3"/>
      <c r="T328" s="3"/>
    </row>
    <row r="329" spans="6:20" ht="13" x14ac:dyDescent="0.15">
      <c r="F329" s="3"/>
      <c r="G329" s="3"/>
      <c r="H329" s="3"/>
      <c r="I329" s="3"/>
      <c r="J329" s="3"/>
      <c r="K329" s="3"/>
      <c r="L329" s="3"/>
      <c r="M329" s="3"/>
      <c r="N329" s="3"/>
      <c r="O329" s="3"/>
      <c r="S329" s="3"/>
      <c r="T329" s="3"/>
    </row>
    <row r="330" spans="6:20" ht="13" x14ac:dyDescent="0.15">
      <c r="F330" s="3"/>
      <c r="G330" s="3"/>
      <c r="H330" s="3"/>
      <c r="I330" s="3"/>
      <c r="J330" s="3"/>
      <c r="K330" s="3"/>
      <c r="L330" s="3"/>
      <c r="M330" s="3"/>
      <c r="N330" s="3"/>
      <c r="O330" s="3"/>
      <c r="S330" s="3"/>
      <c r="T330" s="3"/>
    </row>
    <row r="331" spans="6:20" ht="13" x14ac:dyDescent="0.15">
      <c r="F331" s="3"/>
      <c r="G331" s="3"/>
      <c r="H331" s="3"/>
      <c r="I331" s="3"/>
      <c r="J331" s="3"/>
      <c r="K331" s="3"/>
      <c r="L331" s="3"/>
      <c r="M331" s="3"/>
      <c r="N331" s="3"/>
      <c r="O331" s="3"/>
      <c r="S331" s="3"/>
      <c r="T331" s="3"/>
    </row>
    <row r="332" spans="6:20" ht="13" x14ac:dyDescent="0.15">
      <c r="F332" s="3"/>
      <c r="G332" s="3"/>
      <c r="H332" s="3"/>
      <c r="I332" s="3"/>
      <c r="J332" s="3"/>
      <c r="K332" s="3"/>
      <c r="L332" s="3"/>
      <c r="M332" s="3"/>
      <c r="N332" s="3"/>
      <c r="O332" s="3"/>
      <c r="S332" s="3"/>
      <c r="T332" s="3"/>
    </row>
    <row r="333" spans="6:20" ht="13" x14ac:dyDescent="0.15">
      <c r="F333" s="3"/>
      <c r="G333" s="3"/>
      <c r="H333" s="3"/>
      <c r="I333" s="3"/>
      <c r="J333" s="3"/>
      <c r="K333" s="3"/>
      <c r="L333" s="3"/>
      <c r="M333" s="3"/>
      <c r="N333" s="3"/>
      <c r="O333" s="3"/>
      <c r="S333" s="3"/>
      <c r="T333" s="3"/>
    </row>
    <row r="334" spans="6:20" ht="13" x14ac:dyDescent="0.15">
      <c r="F334" s="3"/>
      <c r="G334" s="3"/>
      <c r="H334" s="3"/>
      <c r="I334" s="3"/>
      <c r="J334" s="3"/>
      <c r="K334" s="3"/>
      <c r="L334" s="3"/>
      <c r="M334" s="3"/>
      <c r="N334" s="3"/>
      <c r="O334" s="3"/>
      <c r="S334" s="3"/>
      <c r="T334" s="3"/>
    </row>
    <row r="335" spans="6:20" ht="13" x14ac:dyDescent="0.15">
      <c r="F335" s="3"/>
      <c r="G335" s="3"/>
      <c r="H335" s="3"/>
      <c r="I335" s="3"/>
      <c r="J335" s="3"/>
      <c r="K335" s="3"/>
      <c r="L335" s="3"/>
      <c r="M335" s="3"/>
      <c r="N335" s="3"/>
      <c r="O335" s="3"/>
      <c r="S335" s="3"/>
      <c r="T335" s="3"/>
    </row>
    <row r="336" spans="6:20" ht="13" x14ac:dyDescent="0.15">
      <c r="F336" s="3"/>
      <c r="G336" s="3"/>
      <c r="H336" s="3"/>
      <c r="I336" s="3"/>
      <c r="J336" s="3"/>
      <c r="K336" s="3"/>
      <c r="L336" s="3"/>
      <c r="M336" s="3"/>
      <c r="N336" s="3"/>
      <c r="O336" s="3"/>
      <c r="S336" s="3"/>
      <c r="T336" s="3"/>
    </row>
    <row r="337" spans="6:20" ht="13" x14ac:dyDescent="0.15">
      <c r="F337" s="3"/>
      <c r="G337" s="3"/>
      <c r="H337" s="3"/>
      <c r="I337" s="3"/>
      <c r="J337" s="3"/>
      <c r="K337" s="3"/>
      <c r="L337" s="3"/>
      <c r="M337" s="3"/>
      <c r="N337" s="3"/>
      <c r="O337" s="3"/>
      <c r="S337" s="3"/>
      <c r="T337" s="3"/>
    </row>
    <row r="338" spans="6:20" ht="13" x14ac:dyDescent="0.15">
      <c r="F338" s="3"/>
      <c r="G338" s="3"/>
      <c r="H338" s="3"/>
      <c r="I338" s="3"/>
      <c r="J338" s="3"/>
      <c r="K338" s="3"/>
      <c r="L338" s="3"/>
      <c r="M338" s="3"/>
      <c r="N338" s="3"/>
      <c r="O338" s="3"/>
      <c r="S338" s="3"/>
      <c r="T338" s="3"/>
    </row>
    <row r="339" spans="6:20" ht="13" x14ac:dyDescent="0.15">
      <c r="F339" s="3"/>
      <c r="G339" s="3"/>
      <c r="H339" s="3"/>
      <c r="I339" s="3"/>
      <c r="J339" s="3"/>
      <c r="K339" s="3"/>
      <c r="L339" s="3"/>
      <c r="M339" s="3"/>
      <c r="N339" s="3"/>
      <c r="O339" s="3"/>
      <c r="S339" s="3"/>
      <c r="T339" s="3"/>
    </row>
    <row r="340" spans="6:20" ht="13" x14ac:dyDescent="0.15">
      <c r="F340" s="3"/>
      <c r="G340" s="3"/>
      <c r="H340" s="3"/>
      <c r="I340" s="3"/>
      <c r="J340" s="3"/>
      <c r="K340" s="3"/>
      <c r="L340" s="3"/>
      <c r="M340" s="3"/>
      <c r="N340" s="3"/>
      <c r="O340" s="3"/>
      <c r="S340" s="3"/>
      <c r="T340" s="3"/>
    </row>
    <row r="341" spans="6:20" ht="13" x14ac:dyDescent="0.15">
      <c r="F341" s="3"/>
      <c r="G341" s="3"/>
      <c r="H341" s="3"/>
      <c r="I341" s="3"/>
      <c r="J341" s="3"/>
      <c r="K341" s="3"/>
      <c r="L341" s="3"/>
      <c r="M341" s="3"/>
      <c r="N341" s="3"/>
      <c r="O341" s="3"/>
      <c r="S341" s="3"/>
      <c r="T341" s="3"/>
    </row>
    <row r="342" spans="6:20" ht="13" x14ac:dyDescent="0.15">
      <c r="F342" s="3"/>
      <c r="G342" s="3"/>
      <c r="H342" s="3"/>
      <c r="I342" s="3"/>
      <c r="J342" s="3"/>
      <c r="K342" s="3"/>
      <c r="L342" s="3"/>
      <c r="M342" s="3"/>
      <c r="N342" s="3"/>
      <c r="O342" s="3"/>
      <c r="S342" s="3"/>
      <c r="T342" s="3"/>
    </row>
    <row r="343" spans="6:20" ht="13" x14ac:dyDescent="0.15">
      <c r="F343" s="3"/>
      <c r="G343" s="3"/>
      <c r="H343" s="3"/>
      <c r="I343" s="3"/>
      <c r="J343" s="3"/>
      <c r="K343" s="3"/>
      <c r="L343" s="3"/>
      <c r="M343" s="3"/>
      <c r="N343" s="3"/>
      <c r="O343" s="3"/>
      <c r="S343" s="3"/>
      <c r="T343" s="3"/>
    </row>
    <row r="344" spans="6:20" ht="13" x14ac:dyDescent="0.15">
      <c r="F344" s="3"/>
      <c r="G344" s="3"/>
      <c r="H344" s="3"/>
      <c r="I344" s="3"/>
      <c r="J344" s="3"/>
      <c r="K344" s="3"/>
      <c r="L344" s="3"/>
      <c r="M344" s="3"/>
      <c r="N344" s="3"/>
      <c r="O344" s="3"/>
      <c r="S344" s="3"/>
      <c r="T344" s="3"/>
    </row>
    <row r="345" spans="6:20" ht="13" x14ac:dyDescent="0.15">
      <c r="F345" s="3"/>
      <c r="G345" s="3"/>
      <c r="H345" s="3"/>
      <c r="I345" s="3"/>
      <c r="J345" s="3"/>
      <c r="K345" s="3"/>
      <c r="L345" s="3"/>
      <c r="M345" s="3"/>
      <c r="N345" s="3"/>
      <c r="O345" s="3"/>
      <c r="S345" s="3"/>
      <c r="T345" s="3"/>
    </row>
    <row r="346" spans="6:20" ht="13" x14ac:dyDescent="0.15">
      <c r="F346" s="3"/>
      <c r="G346" s="3"/>
      <c r="H346" s="3"/>
      <c r="I346" s="3"/>
      <c r="J346" s="3"/>
      <c r="K346" s="3"/>
      <c r="L346" s="3"/>
      <c r="M346" s="3"/>
      <c r="N346" s="3"/>
      <c r="O346" s="3"/>
      <c r="S346" s="3"/>
      <c r="T346" s="3"/>
    </row>
    <row r="347" spans="6:20" ht="13" x14ac:dyDescent="0.15">
      <c r="F347" s="3"/>
      <c r="G347" s="3"/>
      <c r="H347" s="3"/>
      <c r="I347" s="3"/>
      <c r="J347" s="3"/>
      <c r="K347" s="3"/>
      <c r="L347" s="3"/>
      <c r="M347" s="3"/>
      <c r="N347" s="3"/>
      <c r="O347" s="3"/>
      <c r="S347" s="3"/>
      <c r="T347" s="3"/>
    </row>
    <row r="348" spans="6:20" ht="13" x14ac:dyDescent="0.15">
      <c r="F348" s="3"/>
      <c r="G348" s="3"/>
      <c r="H348" s="3"/>
      <c r="I348" s="3"/>
      <c r="J348" s="3"/>
      <c r="K348" s="3"/>
      <c r="L348" s="3"/>
      <c r="M348" s="3"/>
      <c r="N348" s="3"/>
      <c r="O348" s="3"/>
      <c r="S348" s="3"/>
      <c r="T348" s="3"/>
    </row>
    <row r="349" spans="6:20" ht="13" x14ac:dyDescent="0.15">
      <c r="F349" s="3"/>
      <c r="G349" s="3"/>
      <c r="H349" s="3"/>
      <c r="I349" s="3"/>
      <c r="J349" s="3"/>
      <c r="K349" s="3"/>
      <c r="L349" s="3"/>
      <c r="M349" s="3"/>
      <c r="N349" s="3"/>
      <c r="O349" s="3"/>
      <c r="S349" s="3"/>
      <c r="T349" s="3"/>
    </row>
    <row r="350" spans="6:20" ht="13" x14ac:dyDescent="0.15">
      <c r="F350" s="3"/>
      <c r="G350" s="3"/>
      <c r="H350" s="3"/>
      <c r="I350" s="3"/>
      <c r="J350" s="3"/>
      <c r="K350" s="3"/>
      <c r="L350" s="3"/>
      <c r="M350" s="3"/>
      <c r="N350" s="3"/>
      <c r="O350" s="3"/>
      <c r="S350" s="3"/>
      <c r="T350" s="3"/>
    </row>
    <row r="351" spans="6:20" ht="13" x14ac:dyDescent="0.15">
      <c r="F351" s="3"/>
      <c r="G351" s="3"/>
      <c r="H351" s="3"/>
      <c r="I351" s="3"/>
      <c r="J351" s="3"/>
      <c r="K351" s="3"/>
      <c r="L351" s="3"/>
      <c r="M351" s="3"/>
      <c r="N351" s="3"/>
      <c r="O351" s="3"/>
      <c r="S351" s="3"/>
      <c r="T351" s="3"/>
    </row>
    <row r="352" spans="6:20" ht="13" x14ac:dyDescent="0.15">
      <c r="F352" s="3"/>
      <c r="G352" s="3"/>
      <c r="H352" s="3"/>
      <c r="I352" s="3"/>
      <c r="J352" s="3"/>
      <c r="K352" s="3"/>
      <c r="L352" s="3"/>
      <c r="M352" s="3"/>
      <c r="N352" s="3"/>
      <c r="O352" s="3"/>
      <c r="S352" s="3"/>
      <c r="T352" s="3"/>
    </row>
    <row r="353" spans="6:20" ht="13" x14ac:dyDescent="0.15">
      <c r="F353" s="3"/>
      <c r="G353" s="3"/>
      <c r="H353" s="3"/>
      <c r="I353" s="3"/>
      <c r="J353" s="3"/>
      <c r="K353" s="3"/>
      <c r="L353" s="3"/>
      <c r="M353" s="3"/>
      <c r="N353" s="3"/>
      <c r="O353" s="3"/>
      <c r="S353" s="3"/>
      <c r="T353" s="3"/>
    </row>
    <row r="354" spans="6:20" ht="13" x14ac:dyDescent="0.15">
      <c r="F354" s="3"/>
      <c r="G354" s="3"/>
      <c r="H354" s="3"/>
      <c r="I354" s="3"/>
      <c r="J354" s="3"/>
      <c r="K354" s="3"/>
      <c r="L354" s="3"/>
      <c r="M354" s="3"/>
      <c r="N354" s="3"/>
      <c r="O354" s="3"/>
      <c r="S354" s="3"/>
      <c r="T354" s="3"/>
    </row>
    <row r="355" spans="6:20" ht="13" x14ac:dyDescent="0.15">
      <c r="F355" s="3"/>
      <c r="G355" s="3"/>
      <c r="H355" s="3"/>
      <c r="I355" s="3"/>
      <c r="J355" s="3"/>
      <c r="K355" s="3"/>
      <c r="L355" s="3"/>
      <c r="M355" s="3"/>
      <c r="N355" s="3"/>
      <c r="O355" s="3"/>
      <c r="S355" s="3"/>
      <c r="T355" s="3"/>
    </row>
    <row r="356" spans="6:20" ht="13" x14ac:dyDescent="0.15">
      <c r="F356" s="3"/>
      <c r="G356" s="3"/>
      <c r="H356" s="3"/>
      <c r="I356" s="3"/>
      <c r="J356" s="3"/>
      <c r="K356" s="3"/>
      <c r="L356" s="3"/>
      <c r="M356" s="3"/>
      <c r="N356" s="3"/>
      <c r="O356" s="3"/>
      <c r="S356" s="3"/>
      <c r="T356" s="3"/>
    </row>
    <row r="357" spans="6:20" ht="13" x14ac:dyDescent="0.15">
      <c r="F357" s="3"/>
      <c r="G357" s="3"/>
      <c r="H357" s="3"/>
      <c r="I357" s="3"/>
      <c r="J357" s="3"/>
      <c r="K357" s="3"/>
      <c r="L357" s="3"/>
      <c r="M357" s="3"/>
      <c r="N357" s="3"/>
      <c r="O357" s="3"/>
      <c r="S357" s="3"/>
      <c r="T357" s="3"/>
    </row>
    <row r="358" spans="6:20" ht="13" x14ac:dyDescent="0.15">
      <c r="F358" s="3"/>
      <c r="G358" s="3"/>
      <c r="H358" s="3"/>
      <c r="I358" s="3"/>
      <c r="J358" s="3"/>
      <c r="K358" s="3"/>
      <c r="L358" s="3"/>
      <c r="M358" s="3"/>
      <c r="N358" s="3"/>
      <c r="O358" s="3"/>
      <c r="S358" s="3"/>
      <c r="T358" s="3"/>
    </row>
    <row r="359" spans="6:20" ht="13" x14ac:dyDescent="0.15">
      <c r="F359" s="3"/>
      <c r="G359" s="3"/>
      <c r="H359" s="3"/>
      <c r="I359" s="3"/>
      <c r="J359" s="3"/>
      <c r="K359" s="3"/>
      <c r="L359" s="3"/>
      <c r="M359" s="3"/>
      <c r="N359" s="3"/>
      <c r="O359" s="3"/>
      <c r="S359" s="3"/>
      <c r="T359" s="3"/>
    </row>
    <row r="360" spans="6:20" ht="13" x14ac:dyDescent="0.15">
      <c r="F360" s="3"/>
      <c r="G360" s="3"/>
      <c r="H360" s="3"/>
      <c r="I360" s="3"/>
      <c r="J360" s="3"/>
      <c r="K360" s="3"/>
      <c r="L360" s="3"/>
      <c r="M360" s="3"/>
      <c r="N360" s="3"/>
      <c r="O360" s="3"/>
      <c r="S360" s="3"/>
      <c r="T360" s="3"/>
    </row>
    <row r="361" spans="6:20" ht="13" x14ac:dyDescent="0.15">
      <c r="F361" s="3"/>
      <c r="G361" s="3"/>
      <c r="H361" s="3"/>
      <c r="I361" s="3"/>
      <c r="J361" s="3"/>
      <c r="K361" s="3"/>
      <c r="L361" s="3"/>
      <c r="M361" s="3"/>
      <c r="N361" s="3"/>
      <c r="O361" s="3"/>
      <c r="S361" s="3"/>
      <c r="T361" s="3"/>
    </row>
    <row r="362" spans="6:20" ht="13" x14ac:dyDescent="0.15">
      <c r="F362" s="3"/>
      <c r="G362" s="3"/>
      <c r="H362" s="3"/>
      <c r="I362" s="3"/>
      <c r="J362" s="3"/>
      <c r="K362" s="3"/>
      <c r="L362" s="3"/>
      <c r="M362" s="3"/>
      <c r="N362" s="3"/>
      <c r="O362" s="3"/>
      <c r="S362" s="3"/>
      <c r="T362" s="3"/>
    </row>
    <row r="363" spans="6:20" ht="13" x14ac:dyDescent="0.15">
      <c r="F363" s="3"/>
      <c r="G363" s="3"/>
      <c r="H363" s="3"/>
      <c r="I363" s="3"/>
      <c r="J363" s="3"/>
      <c r="K363" s="3"/>
      <c r="L363" s="3"/>
      <c r="M363" s="3"/>
      <c r="N363" s="3"/>
      <c r="O363" s="3"/>
      <c r="S363" s="3"/>
      <c r="T363" s="3"/>
    </row>
    <row r="364" spans="6:20" ht="13" x14ac:dyDescent="0.15">
      <c r="F364" s="3"/>
      <c r="G364" s="3"/>
      <c r="H364" s="3"/>
      <c r="I364" s="3"/>
      <c r="J364" s="3"/>
      <c r="K364" s="3"/>
      <c r="L364" s="3"/>
      <c r="M364" s="3"/>
      <c r="N364" s="3"/>
      <c r="O364" s="3"/>
      <c r="S364" s="3"/>
      <c r="T364" s="3"/>
    </row>
    <row r="365" spans="6:20" ht="13" x14ac:dyDescent="0.15">
      <c r="F365" s="3"/>
      <c r="G365" s="3"/>
      <c r="H365" s="3"/>
      <c r="I365" s="3"/>
      <c r="J365" s="3"/>
      <c r="K365" s="3"/>
      <c r="L365" s="3"/>
      <c r="M365" s="3"/>
      <c r="N365" s="3"/>
      <c r="O365" s="3"/>
      <c r="S365" s="3"/>
      <c r="T365" s="3"/>
    </row>
    <row r="366" spans="6:20" ht="13" x14ac:dyDescent="0.15">
      <c r="F366" s="3"/>
      <c r="G366" s="3"/>
      <c r="H366" s="3"/>
      <c r="I366" s="3"/>
      <c r="J366" s="3"/>
      <c r="K366" s="3"/>
      <c r="L366" s="3"/>
      <c r="M366" s="3"/>
      <c r="N366" s="3"/>
      <c r="O366" s="3"/>
      <c r="S366" s="3"/>
      <c r="T366" s="3"/>
    </row>
    <row r="367" spans="6:20" ht="13" x14ac:dyDescent="0.15">
      <c r="F367" s="3"/>
      <c r="G367" s="3"/>
      <c r="H367" s="3"/>
      <c r="I367" s="3"/>
      <c r="J367" s="3"/>
      <c r="K367" s="3"/>
      <c r="L367" s="3"/>
      <c r="M367" s="3"/>
      <c r="N367" s="3"/>
      <c r="O367" s="3"/>
      <c r="S367" s="3"/>
      <c r="T367" s="3"/>
    </row>
    <row r="368" spans="6:20" ht="13" x14ac:dyDescent="0.15">
      <c r="F368" s="3"/>
      <c r="G368" s="3"/>
      <c r="H368" s="3"/>
      <c r="I368" s="3"/>
      <c r="J368" s="3"/>
      <c r="K368" s="3"/>
      <c r="L368" s="3"/>
      <c r="M368" s="3"/>
      <c r="N368" s="3"/>
      <c r="O368" s="3"/>
      <c r="S368" s="3"/>
      <c r="T368" s="3"/>
    </row>
    <row r="369" spans="6:20" ht="13" x14ac:dyDescent="0.15">
      <c r="F369" s="3"/>
      <c r="G369" s="3"/>
      <c r="H369" s="3"/>
      <c r="I369" s="3"/>
      <c r="J369" s="3"/>
      <c r="K369" s="3"/>
      <c r="L369" s="3"/>
      <c r="M369" s="3"/>
      <c r="N369" s="3"/>
      <c r="O369" s="3"/>
      <c r="S369" s="3"/>
      <c r="T369" s="3"/>
    </row>
    <row r="370" spans="6:20" ht="13" x14ac:dyDescent="0.15">
      <c r="F370" s="3"/>
      <c r="G370" s="3"/>
      <c r="H370" s="3"/>
      <c r="I370" s="3"/>
      <c r="J370" s="3"/>
      <c r="K370" s="3"/>
      <c r="L370" s="3"/>
      <c r="M370" s="3"/>
      <c r="N370" s="3"/>
      <c r="O370" s="3"/>
      <c r="S370" s="3"/>
      <c r="T370" s="3"/>
    </row>
    <row r="371" spans="6:20" ht="13" x14ac:dyDescent="0.15">
      <c r="F371" s="3"/>
      <c r="G371" s="3"/>
      <c r="H371" s="3"/>
      <c r="I371" s="3"/>
      <c r="J371" s="3"/>
      <c r="K371" s="3"/>
      <c r="L371" s="3"/>
      <c r="M371" s="3"/>
      <c r="N371" s="3"/>
      <c r="O371" s="3"/>
      <c r="S371" s="3"/>
      <c r="T371" s="3"/>
    </row>
    <row r="372" spans="6:20" ht="13" x14ac:dyDescent="0.15">
      <c r="F372" s="3"/>
      <c r="G372" s="3"/>
      <c r="H372" s="3"/>
      <c r="I372" s="3"/>
      <c r="J372" s="3"/>
      <c r="K372" s="3"/>
      <c r="L372" s="3"/>
      <c r="M372" s="3"/>
      <c r="N372" s="3"/>
      <c r="O372" s="3"/>
      <c r="S372" s="3"/>
      <c r="T372" s="3"/>
    </row>
    <row r="373" spans="6:20" ht="13" x14ac:dyDescent="0.15">
      <c r="F373" s="3"/>
      <c r="G373" s="3"/>
      <c r="H373" s="3"/>
      <c r="I373" s="3"/>
      <c r="J373" s="3"/>
      <c r="K373" s="3"/>
      <c r="L373" s="3"/>
      <c r="M373" s="3"/>
      <c r="N373" s="3"/>
      <c r="O373" s="3"/>
      <c r="S373" s="3"/>
      <c r="T373" s="3"/>
    </row>
    <row r="374" spans="6:20" ht="13" x14ac:dyDescent="0.15">
      <c r="F374" s="3"/>
      <c r="G374" s="3"/>
      <c r="H374" s="3"/>
      <c r="I374" s="3"/>
      <c r="J374" s="3"/>
      <c r="K374" s="3"/>
      <c r="L374" s="3"/>
      <c r="M374" s="3"/>
      <c r="N374" s="3"/>
      <c r="O374" s="3"/>
      <c r="S374" s="3"/>
      <c r="T374" s="3"/>
    </row>
    <row r="375" spans="6:20" ht="13" x14ac:dyDescent="0.15">
      <c r="F375" s="3"/>
      <c r="G375" s="3"/>
      <c r="H375" s="3"/>
      <c r="I375" s="3"/>
      <c r="J375" s="3"/>
      <c r="K375" s="3"/>
      <c r="L375" s="3"/>
      <c r="M375" s="3"/>
      <c r="N375" s="3"/>
      <c r="O375" s="3"/>
      <c r="S375" s="3"/>
      <c r="T375" s="3"/>
    </row>
    <row r="376" spans="6:20" ht="13" x14ac:dyDescent="0.15">
      <c r="F376" s="3"/>
      <c r="G376" s="3"/>
      <c r="H376" s="3"/>
      <c r="I376" s="3"/>
      <c r="J376" s="3"/>
      <c r="K376" s="3"/>
      <c r="L376" s="3"/>
      <c r="M376" s="3"/>
      <c r="N376" s="3"/>
      <c r="O376" s="3"/>
      <c r="S376" s="3"/>
      <c r="T376" s="3"/>
    </row>
    <row r="377" spans="6:20" ht="13" x14ac:dyDescent="0.15">
      <c r="F377" s="3"/>
      <c r="G377" s="3"/>
      <c r="H377" s="3"/>
      <c r="I377" s="3"/>
      <c r="J377" s="3"/>
      <c r="K377" s="3"/>
      <c r="L377" s="3"/>
      <c r="M377" s="3"/>
      <c r="N377" s="3"/>
      <c r="O377" s="3"/>
      <c r="S377" s="3"/>
      <c r="T377" s="3"/>
    </row>
    <row r="378" spans="6:20" ht="13" x14ac:dyDescent="0.15">
      <c r="F378" s="3"/>
      <c r="G378" s="3"/>
      <c r="H378" s="3"/>
      <c r="I378" s="3"/>
      <c r="J378" s="3"/>
      <c r="K378" s="3"/>
      <c r="L378" s="3"/>
      <c r="M378" s="3"/>
      <c r="N378" s="3"/>
      <c r="O378" s="3"/>
      <c r="S378" s="3"/>
      <c r="T378" s="3"/>
    </row>
    <row r="379" spans="6:20" ht="13" x14ac:dyDescent="0.15">
      <c r="F379" s="3"/>
      <c r="G379" s="3"/>
      <c r="H379" s="3"/>
      <c r="I379" s="3"/>
      <c r="J379" s="3"/>
      <c r="K379" s="3"/>
      <c r="L379" s="3"/>
      <c r="M379" s="3"/>
      <c r="N379" s="3"/>
      <c r="O379" s="3"/>
      <c r="S379" s="3"/>
      <c r="T379" s="3"/>
    </row>
    <row r="380" spans="6:20" ht="13" x14ac:dyDescent="0.15">
      <c r="F380" s="3"/>
      <c r="G380" s="3"/>
      <c r="H380" s="3"/>
      <c r="I380" s="3"/>
      <c r="J380" s="3"/>
      <c r="K380" s="3"/>
      <c r="L380" s="3"/>
      <c r="M380" s="3"/>
      <c r="N380" s="3"/>
      <c r="O380" s="3"/>
      <c r="S380" s="3"/>
      <c r="T380" s="3"/>
    </row>
    <row r="381" spans="6:20" ht="13" x14ac:dyDescent="0.15">
      <c r="F381" s="3"/>
      <c r="G381" s="3"/>
      <c r="H381" s="3"/>
      <c r="I381" s="3"/>
      <c r="J381" s="3"/>
      <c r="K381" s="3"/>
      <c r="L381" s="3"/>
      <c r="M381" s="3"/>
      <c r="N381" s="3"/>
      <c r="O381" s="3"/>
      <c r="S381" s="3"/>
      <c r="T381" s="3"/>
    </row>
    <row r="382" spans="6:20" ht="13" x14ac:dyDescent="0.15">
      <c r="F382" s="3"/>
      <c r="G382" s="3"/>
      <c r="H382" s="3"/>
      <c r="I382" s="3"/>
      <c r="J382" s="3"/>
      <c r="K382" s="3"/>
      <c r="L382" s="3"/>
      <c r="M382" s="3"/>
      <c r="N382" s="3"/>
      <c r="O382" s="3"/>
      <c r="S382" s="3"/>
      <c r="T382" s="3"/>
    </row>
    <row r="383" spans="6:20" ht="13" x14ac:dyDescent="0.15">
      <c r="F383" s="3"/>
      <c r="G383" s="3"/>
      <c r="H383" s="3"/>
      <c r="I383" s="3"/>
      <c r="J383" s="3"/>
      <c r="K383" s="3"/>
      <c r="L383" s="3"/>
      <c r="M383" s="3"/>
      <c r="N383" s="3"/>
      <c r="O383" s="3"/>
      <c r="S383" s="3"/>
      <c r="T383" s="3"/>
    </row>
    <row r="384" spans="6:20" ht="13" x14ac:dyDescent="0.15">
      <c r="F384" s="3"/>
      <c r="G384" s="3"/>
      <c r="H384" s="3"/>
      <c r="I384" s="3"/>
      <c r="J384" s="3"/>
      <c r="K384" s="3"/>
      <c r="L384" s="3"/>
      <c r="M384" s="3"/>
      <c r="N384" s="3"/>
      <c r="O384" s="3"/>
      <c r="S384" s="3"/>
      <c r="T384" s="3"/>
    </row>
    <row r="385" spans="6:20" ht="13" x14ac:dyDescent="0.15">
      <c r="F385" s="3"/>
      <c r="G385" s="3"/>
      <c r="H385" s="3"/>
      <c r="I385" s="3"/>
      <c r="J385" s="3"/>
      <c r="K385" s="3"/>
      <c r="L385" s="3"/>
      <c r="M385" s="3"/>
      <c r="N385" s="3"/>
      <c r="O385" s="3"/>
      <c r="S385" s="3"/>
      <c r="T385" s="3"/>
    </row>
    <row r="386" spans="6:20" ht="13" x14ac:dyDescent="0.15">
      <c r="F386" s="3"/>
      <c r="G386" s="3"/>
      <c r="H386" s="3"/>
      <c r="I386" s="3"/>
      <c r="J386" s="3"/>
      <c r="K386" s="3"/>
      <c r="L386" s="3"/>
      <c r="M386" s="3"/>
      <c r="N386" s="3"/>
      <c r="O386" s="3"/>
      <c r="S386" s="3"/>
      <c r="T386" s="3"/>
    </row>
    <row r="387" spans="6:20" ht="13" x14ac:dyDescent="0.15">
      <c r="F387" s="3"/>
      <c r="G387" s="3"/>
      <c r="H387" s="3"/>
      <c r="I387" s="3"/>
      <c r="J387" s="3"/>
      <c r="K387" s="3"/>
      <c r="L387" s="3"/>
      <c r="M387" s="3"/>
      <c r="N387" s="3"/>
      <c r="O387" s="3"/>
      <c r="S387" s="3"/>
      <c r="T387" s="3"/>
    </row>
    <row r="388" spans="6:20" ht="13" x14ac:dyDescent="0.15">
      <c r="F388" s="3"/>
      <c r="G388" s="3"/>
      <c r="H388" s="3"/>
      <c r="I388" s="3"/>
      <c r="J388" s="3"/>
      <c r="K388" s="3"/>
      <c r="L388" s="3"/>
      <c r="M388" s="3"/>
      <c r="N388" s="3"/>
      <c r="O388" s="3"/>
      <c r="S388" s="3"/>
      <c r="T388" s="3"/>
    </row>
    <row r="389" spans="6:20" ht="13" x14ac:dyDescent="0.15">
      <c r="F389" s="3"/>
      <c r="G389" s="3"/>
      <c r="H389" s="3"/>
      <c r="I389" s="3"/>
      <c r="J389" s="3"/>
      <c r="K389" s="3"/>
      <c r="L389" s="3"/>
      <c r="M389" s="3"/>
      <c r="N389" s="3"/>
      <c r="O389" s="3"/>
      <c r="S389" s="3"/>
      <c r="T389" s="3"/>
    </row>
    <row r="390" spans="6:20" ht="13" x14ac:dyDescent="0.15">
      <c r="F390" s="3"/>
      <c r="G390" s="3"/>
      <c r="H390" s="3"/>
      <c r="I390" s="3"/>
      <c r="J390" s="3"/>
      <c r="K390" s="3"/>
      <c r="L390" s="3"/>
      <c r="M390" s="3"/>
      <c r="N390" s="3"/>
      <c r="O390" s="3"/>
      <c r="S390" s="3"/>
      <c r="T390" s="3"/>
    </row>
    <row r="391" spans="6:20" ht="13" x14ac:dyDescent="0.15">
      <c r="F391" s="3"/>
      <c r="G391" s="3"/>
      <c r="H391" s="3"/>
      <c r="I391" s="3"/>
      <c r="J391" s="3"/>
      <c r="K391" s="3"/>
      <c r="L391" s="3"/>
      <c r="M391" s="3"/>
      <c r="N391" s="3"/>
      <c r="O391" s="3"/>
      <c r="S391" s="3"/>
      <c r="T391" s="3"/>
    </row>
    <row r="392" spans="6:20" ht="13" x14ac:dyDescent="0.15">
      <c r="F392" s="3"/>
      <c r="G392" s="3"/>
      <c r="H392" s="3"/>
      <c r="I392" s="3"/>
      <c r="J392" s="3"/>
      <c r="K392" s="3"/>
      <c r="L392" s="3"/>
      <c r="M392" s="3"/>
      <c r="N392" s="3"/>
      <c r="O392" s="3"/>
      <c r="S392" s="3"/>
      <c r="T392" s="3"/>
    </row>
    <row r="393" spans="6:20" ht="13" x14ac:dyDescent="0.15">
      <c r="F393" s="3"/>
      <c r="G393" s="3"/>
      <c r="H393" s="3"/>
      <c r="I393" s="3"/>
      <c r="J393" s="3"/>
      <c r="K393" s="3"/>
      <c r="L393" s="3"/>
      <c r="M393" s="3"/>
      <c r="N393" s="3"/>
      <c r="O393" s="3"/>
      <c r="S393" s="3"/>
      <c r="T393" s="3"/>
    </row>
    <row r="394" spans="6:20" ht="13" x14ac:dyDescent="0.15">
      <c r="F394" s="3"/>
      <c r="G394" s="3"/>
      <c r="H394" s="3"/>
      <c r="I394" s="3"/>
      <c r="J394" s="3"/>
      <c r="K394" s="3"/>
      <c r="L394" s="3"/>
      <c r="M394" s="3"/>
      <c r="N394" s="3"/>
      <c r="O394" s="3"/>
      <c r="S394" s="3"/>
      <c r="T394" s="3"/>
    </row>
    <row r="395" spans="6:20" ht="13" x14ac:dyDescent="0.15">
      <c r="F395" s="3"/>
      <c r="G395" s="3"/>
      <c r="H395" s="3"/>
      <c r="I395" s="3"/>
      <c r="J395" s="3"/>
      <c r="K395" s="3"/>
      <c r="L395" s="3"/>
      <c r="M395" s="3"/>
      <c r="N395" s="3"/>
      <c r="O395" s="3"/>
      <c r="S395" s="3"/>
      <c r="T395" s="3"/>
    </row>
    <row r="396" spans="6:20" ht="13" x14ac:dyDescent="0.15">
      <c r="F396" s="3"/>
      <c r="G396" s="3"/>
      <c r="H396" s="3"/>
      <c r="I396" s="3"/>
      <c r="J396" s="3"/>
      <c r="K396" s="3"/>
      <c r="L396" s="3"/>
      <c r="M396" s="3"/>
      <c r="N396" s="3"/>
      <c r="O396" s="3"/>
      <c r="S396" s="3"/>
      <c r="T396" s="3"/>
    </row>
    <row r="397" spans="6:20" ht="13" x14ac:dyDescent="0.15">
      <c r="F397" s="3"/>
      <c r="G397" s="3"/>
      <c r="H397" s="3"/>
      <c r="I397" s="3"/>
      <c r="J397" s="3"/>
      <c r="K397" s="3"/>
      <c r="L397" s="3"/>
      <c r="M397" s="3"/>
      <c r="N397" s="3"/>
      <c r="O397" s="3"/>
      <c r="S397" s="3"/>
      <c r="T397" s="3"/>
    </row>
    <row r="398" spans="6:20" ht="13" x14ac:dyDescent="0.15">
      <c r="F398" s="3"/>
      <c r="G398" s="3"/>
      <c r="H398" s="3"/>
      <c r="I398" s="3"/>
      <c r="J398" s="3"/>
      <c r="K398" s="3"/>
      <c r="L398" s="3"/>
      <c r="M398" s="3"/>
      <c r="N398" s="3"/>
      <c r="O398" s="3"/>
      <c r="S398" s="3"/>
      <c r="T398" s="3"/>
    </row>
    <row r="399" spans="6:20" ht="13" x14ac:dyDescent="0.15">
      <c r="F399" s="3"/>
      <c r="G399" s="3"/>
      <c r="H399" s="3"/>
      <c r="I399" s="3"/>
      <c r="J399" s="3"/>
      <c r="K399" s="3"/>
      <c r="L399" s="3"/>
      <c r="M399" s="3"/>
      <c r="N399" s="3"/>
      <c r="O399" s="3"/>
      <c r="S399" s="3"/>
      <c r="T399" s="3"/>
    </row>
    <row r="400" spans="6:20" ht="13" x14ac:dyDescent="0.15">
      <c r="F400" s="3"/>
      <c r="G400" s="3"/>
      <c r="H400" s="3"/>
      <c r="I400" s="3"/>
      <c r="J400" s="3"/>
      <c r="K400" s="3"/>
      <c r="L400" s="3"/>
      <c r="M400" s="3"/>
      <c r="N400" s="3"/>
      <c r="O400" s="3"/>
      <c r="S400" s="3"/>
      <c r="T400" s="3"/>
    </row>
    <row r="401" spans="6:20" ht="13" x14ac:dyDescent="0.15">
      <c r="F401" s="3"/>
      <c r="G401" s="3"/>
      <c r="H401" s="3"/>
      <c r="I401" s="3"/>
      <c r="J401" s="3"/>
      <c r="K401" s="3"/>
      <c r="L401" s="3"/>
      <c r="M401" s="3"/>
      <c r="N401" s="3"/>
      <c r="O401" s="3"/>
      <c r="S401" s="3"/>
      <c r="T401" s="3"/>
    </row>
    <row r="402" spans="6:20" ht="13" x14ac:dyDescent="0.15">
      <c r="F402" s="3"/>
      <c r="G402" s="3"/>
      <c r="H402" s="3"/>
      <c r="I402" s="3"/>
      <c r="J402" s="3"/>
      <c r="K402" s="3"/>
      <c r="L402" s="3"/>
      <c r="M402" s="3"/>
      <c r="N402" s="3"/>
      <c r="O402" s="3"/>
      <c r="S402" s="3"/>
      <c r="T402" s="3"/>
    </row>
    <row r="403" spans="6:20" ht="13" x14ac:dyDescent="0.15">
      <c r="F403" s="3"/>
      <c r="G403" s="3"/>
      <c r="H403" s="3"/>
      <c r="I403" s="3"/>
      <c r="J403" s="3"/>
      <c r="K403" s="3"/>
      <c r="L403" s="3"/>
      <c r="M403" s="3"/>
      <c r="N403" s="3"/>
      <c r="O403" s="3"/>
      <c r="S403" s="3"/>
      <c r="T403" s="3"/>
    </row>
    <row r="404" spans="6:20" ht="13" x14ac:dyDescent="0.15">
      <c r="F404" s="3"/>
      <c r="G404" s="3"/>
      <c r="H404" s="3"/>
      <c r="I404" s="3"/>
      <c r="J404" s="3"/>
      <c r="K404" s="3"/>
      <c r="L404" s="3"/>
      <c r="M404" s="3"/>
      <c r="N404" s="3"/>
      <c r="O404" s="3"/>
      <c r="S404" s="3"/>
      <c r="T404" s="3"/>
    </row>
    <row r="405" spans="6:20" ht="13" x14ac:dyDescent="0.15">
      <c r="F405" s="3"/>
      <c r="G405" s="3"/>
      <c r="H405" s="3"/>
      <c r="I405" s="3"/>
      <c r="J405" s="3"/>
      <c r="K405" s="3"/>
      <c r="L405" s="3"/>
      <c r="M405" s="3"/>
      <c r="N405" s="3"/>
      <c r="O405" s="3"/>
      <c r="S405" s="3"/>
      <c r="T405" s="3"/>
    </row>
    <row r="406" spans="6:20" ht="13" x14ac:dyDescent="0.15">
      <c r="F406" s="3"/>
      <c r="G406" s="3"/>
      <c r="H406" s="3"/>
      <c r="I406" s="3"/>
      <c r="J406" s="3"/>
      <c r="K406" s="3"/>
      <c r="L406" s="3"/>
      <c r="M406" s="3"/>
      <c r="N406" s="3"/>
      <c r="O406" s="3"/>
      <c r="S406" s="3"/>
      <c r="T406" s="3"/>
    </row>
    <row r="407" spans="6:20" ht="13" x14ac:dyDescent="0.15">
      <c r="F407" s="3"/>
      <c r="G407" s="3"/>
      <c r="H407" s="3"/>
      <c r="I407" s="3"/>
      <c r="J407" s="3"/>
      <c r="K407" s="3"/>
      <c r="L407" s="3"/>
      <c r="M407" s="3"/>
      <c r="N407" s="3"/>
      <c r="O407" s="3"/>
      <c r="S407" s="3"/>
      <c r="T407" s="3"/>
    </row>
    <row r="408" spans="6:20" ht="13" x14ac:dyDescent="0.15">
      <c r="F408" s="3"/>
      <c r="G408" s="3"/>
      <c r="H408" s="3"/>
      <c r="I408" s="3"/>
      <c r="J408" s="3"/>
      <c r="K408" s="3"/>
      <c r="L408" s="3"/>
      <c r="M408" s="3"/>
      <c r="N408" s="3"/>
      <c r="O408" s="3"/>
      <c r="S408" s="3"/>
      <c r="T408" s="3"/>
    </row>
    <row r="409" spans="6:20" ht="13" x14ac:dyDescent="0.15">
      <c r="F409" s="3"/>
      <c r="G409" s="3"/>
      <c r="H409" s="3"/>
      <c r="I409" s="3"/>
      <c r="J409" s="3"/>
      <c r="K409" s="3"/>
      <c r="L409" s="3"/>
      <c r="M409" s="3"/>
      <c r="N409" s="3"/>
      <c r="O409" s="3"/>
      <c r="S409" s="3"/>
      <c r="T409" s="3"/>
    </row>
    <row r="410" spans="6:20" ht="13" x14ac:dyDescent="0.15">
      <c r="F410" s="3"/>
      <c r="G410" s="3"/>
      <c r="H410" s="3"/>
      <c r="I410" s="3"/>
      <c r="J410" s="3"/>
      <c r="K410" s="3"/>
      <c r="L410" s="3"/>
      <c r="M410" s="3"/>
      <c r="N410" s="3"/>
      <c r="O410" s="3"/>
      <c r="S410" s="3"/>
      <c r="T410" s="3"/>
    </row>
    <row r="411" spans="6:20" ht="13" x14ac:dyDescent="0.15">
      <c r="F411" s="3"/>
      <c r="G411" s="3"/>
      <c r="H411" s="3"/>
      <c r="I411" s="3"/>
      <c r="J411" s="3"/>
      <c r="K411" s="3"/>
      <c r="L411" s="3"/>
      <c r="M411" s="3"/>
      <c r="N411" s="3"/>
      <c r="O411" s="3"/>
      <c r="S411" s="3"/>
      <c r="T411" s="3"/>
    </row>
    <row r="412" spans="6:20" ht="13" x14ac:dyDescent="0.15">
      <c r="F412" s="3"/>
      <c r="G412" s="3"/>
      <c r="H412" s="3"/>
      <c r="I412" s="3"/>
      <c r="J412" s="3"/>
      <c r="K412" s="3"/>
      <c r="L412" s="3"/>
      <c r="M412" s="3"/>
      <c r="N412" s="3"/>
      <c r="O412" s="3"/>
      <c r="S412" s="3"/>
      <c r="T412" s="3"/>
    </row>
    <row r="413" spans="6:20" ht="13" x14ac:dyDescent="0.15">
      <c r="F413" s="3"/>
      <c r="G413" s="3"/>
      <c r="H413" s="3"/>
      <c r="I413" s="3"/>
      <c r="J413" s="3"/>
      <c r="K413" s="3"/>
      <c r="L413" s="3"/>
      <c r="M413" s="3"/>
      <c r="N413" s="3"/>
      <c r="O413" s="3"/>
      <c r="S413" s="3"/>
      <c r="T413" s="3"/>
    </row>
    <row r="414" spans="6:20" ht="13" x14ac:dyDescent="0.15">
      <c r="F414" s="3"/>
      <c r="G414" s="3"/>
      <c r="H414" s="3"/>
      <c r="I414" s="3"/>
      <c r="J414" s="3"/>
      <c r="K414" s="3"/>
      <c r="L414" s="3"/>
      <c r="M414" s="3"/>
      <c r="N414" s="3"/>
      <c r="O414" s="3"/>
      <c r="S414" s="3"/>
      <c r="T414" s="3"/>
    </row>
    <row r="415" spans="6:20" ht="13" x14ac:dyDescent="0.15">
      <c r="F415" s="3"/>
      <c r="G415" s="3"/>
      <c r="H415" s="3"/>
      <c r="I415" s="3"/>
      <c r="J415" s="3"/>
      <c r="K415" s="3"/>
      <c r="L415" s="3"/>
      <c r="M415" s="3"/>
      <c r="N415" s="3"/>
      <c r="O415" s="3"/>
      <c r="S415" s="3"/>
      <c r="T415" s="3"/>
    </row>
    <row r="416" spans="6:20" ht="13" x14ac:dyDescent="0.15">
      <c r="F416" s="3"/>
      <c r="G416" s="3"/>
      <c r="H416" s="3"/>
      <c r="I416" s="3"/>
      <c r="J416" s="3"/>
      <c r="K416" s="3"/>
      <c r="L416" s="3"/>
      <c r="M416" s="3"/>
      <c r="N416" s="3"/>
      <c r="O416" s="3"/>
      <c r="S416" s="3"/>
      <c r="T416" s="3"/>
    </row>
    <row r="417" spans="6:20" ht="13" x14ac:dyDescent="0.15">
      <c r="F417" s="3"/>
      <c r="G417" s="3"/>
      <c r="H417" s="3"/>
      <c r="I417" s="3"/>
      <c r="J417" s="3"/>
      <c r="K417" s="3"/>
      <c r="L417" s="3"/>
      <c r="M417" s="3"/>
      <c r="N417" s="3"/>
      <c r="O417" s="3"/>
      <c r="S417" s="3"/>
      <c r="T417" s="3"/>
    </row>
    <row r="418" spans="6:20" ht="13" x14ac:dyDescent="0.15">
      <c r="F418" s="3"/>
      <c r="G418" s="3"/>
      <c r="H418" s="3"/>
      <c r="I418" s="3"/>
      <c r="J418" s="3"/>
      <c r="K418" s="3"/>
      <c r="L418" s="3"/>
      <c r="M418" s="3"/>
      <c r="N418" s="3"/>
      <c r="O418" s="3"/>
      <c r="S418" s="3"/>
      <c r="T418" s="3"/>
    </row>
    <row r="419" spans="6:20" ht="13" x14ac:dyDescent="0.15">
      <c r="F419" s="3"/>
      <c r="G419" s="3"/>
      <c r="H419" s="3"/>
      <c r="I419" s="3"/>
      <c r="J419" s="3"/>
      <c r="K419" s="3"/>
      <c r="L419" s="3"/>
      <c r="M419" s="3"/>
      <c r="N419" s="3"/>
      <c r="O419" s="3"/>
      <c r="S419" s="3"/>
      <c r="T419" s="3"/>
    </row>
    <row r="420" spans="6:20" ht="13" x14ac:dyDescent="0.15">
      <c r="F420" s="3"/>
      <c r="G420" s="3"/>
      <c r="H420" s="3"/>
      <c r="I420" s="3"/>
      <c r="J420" s="3"/>
      <c r="K420" s="3"/>
      <c r="L420" s="3"/>
      <c r="M420" s="3"/>
      <c r="N420" s="3"/>
      <c r="O420" s="3"/>
      <c r="S420" s="3"/>
      <c r="T420" s="3"/>
    </row>
    <row r="421" spans="6:20" ht="13" x14ac:dyDescent="0.15">
      <c r="F421" s="3"/>
      <c r="G421" s="3"/>
      <c r="H421" s="3"/>
      <c r="I421" s="3"/>
      <c r="J421" s="3"/>
      <c r="K421" s="3"/>
      <c r="L421" s="3"/>
      <c r="M421" s="3"/>
      <c r="N421" s="3"/>
      <c r="O421" s="3"/>
      <c r="S421" s="3"/>
      <c r="T421" s="3"/>
    </row>
    <row r="422" spans="6:20" ht="13" x14ac:dyDescent="0.15">
      <c r="F422" s="3"/>
      <c r="G422" s="3"/>
      <c r="H422" s="3"/>
      <c r="I422" s="3"/>
      <c r="J422" s="3"/>
      <c r="K422" s="3"/>
      <c r="L422" s="3"/>
      <c r="M422" s="3"/>
      <c r="N422" s="3"/>
      <c r="O422" s="3"/>
      <c r="S422" s="3"/>
      <c r="T422" s="3"/>
    </row>
    <row r="423" spans="6:20" ht="13" x14ac:dyDescent="0.15">
      <c r="F423" s="3"/>
      <c r="G423" s="3"/>
      <c r="H423" s="3"/>
      <c r="I423" s="3"/>
      <c r="J423" s="3"/>
      <c r="K423" s="3"/>
      <c r="L423" s="3"/>
      <c r="M423" s="3"/>
      <c r="N423" s="3"/>
      <c r="O423" s="3"/>
      <c r="S423" s="3"/>
      <c r="T423" s="3"/>
    </row>
    <row r="424" spans="6:20" ht="13" x14ac:dyDescent="0.15">
      <c r="F424" s="3"/>
      <c r="G424" s="3"/>
      <c r="H424" s="3"/>
      <c r="I424" s="3"/>
      <c r="J424" s="3"/>
      <c r="K424" s="3"/>
      <c r="L424" s="3"/>
      <c r="M424" s="3"/>
      <c r="N424" s="3"/>
      <c r="O424" s="3"/>
      <c r="S424" s="3"/>
      <c r="T424" s="3"/>
    </row>
    <row r="425" spans="6:20" ht="13" x14ac:dyDescent="0.15">
      <c r="F425" s="3"/>
      <c r="G425" s="3"/>
      <c r="H425" s="3"/>
      <c r="I425" s="3"/>
      <c r="J425" s="3"/>
      <c r="K425" s="3"/>
      <c r="L425" s="3"/>
      <c r="M425" s="3"/>
      <c r="N425" s="3"/>
      <c r="O425" s="3"/>
      <c r="S425" s="3"/>
      <c r="T425" s="3"/>
    </row>
    <row r="426" spans="6:20" ht="13" x14ac:dyDescent="0.15">
      <c r="F426" s="3"/>
      <c r="G426" s="3"/>
      <c r="H426" s="3"/>
      <c r="I426" s="3"/>
      <c r="J426" s="3"/>
      <c r="K426" s="3"/>
      <c r="L426" s="3"/>
      <c r="M426" s="3"/>
      <c r="N426" s="3"/>
      <c r="O426" s="3"/>
      <c r="S426" s="3"/>
      <c r="T426" s="3"/>
    </row>
    <row r="427" spans="6:20" ht="13" x14ac:dyDescent="0.15">
      <c r="F427" s="3"/>
      <c r="G427" s="3"/>
      <c r="H427" s="3"/>
      <c r="I427" s="3"/>
      <c r="J427" s="3"/>
      <c r="K427" s="3"/>
      <c r="L427" s="3"/>
      <c r="M427" s="3"/>
      <c r="N427" s="3"/>
      <c r="O427" s="3"/>
      <c r="S427" s="3"/>
      <c r="T427" s="3"/>
    </row>
    <row r="428" spans="6:20" ht="13" x14ac:dyDescent="0.15">
      <c r="F428" s="3"/>
      <c r="G428" s="3"/>
      <c r="H428" s="3"/>
      <c r="I428" s="3"/>
      <c r="J428" s="3"/>
      <c r="K428" s="3"/>
      <c r="L428" s="3"/>
      <c r="M428" s="3"/>
      <c r="N428" s="3"/>
      <c r="O428" s="3"/>
      <c r="S428" s="3"/>
      <c r="T428" s="3"/>
    </row>
    <row r="429" spans="6:20" ht="13" x14ac:dyDescent="0.15">
      <c r="F429" s="3"/>
      <c r="G429" s="3"/>
      <c r="H429" s="3"/>
      <c r="I429" s="3"/>
      <c r="J429" s="3"/>
      <c r="K429" s="3"/>
      <c r="L429" s="3"/>
      <c r="M429" s="3"/>
      <c r="N429" s="3"/>
      <c r="O429" s="3"/>
      <c r="S429" s="3"/>
      <c r="T429" s="3"/>
    </row>
    <row r="430" spans="6:20" ht="13" x14ac:dyDescent="0.15">
      <c r="F430" s="3"/>
      <c r="G430" s="3"/>
      <c r="H430" s="3"/>
      <c r="I430" s="3"/>
      <c r="J430" s="3"/>
      <c r="K430" s="3"/>
      <c r="L430" s="3"/>
      <c r="M430" s="3"/>
      <c r="N430" s="3"/>
      <c r="O430" s="3"/>
      <c r="S430" s="3"/>
      <c r="T430" s="3"/>
    </row>
    <row r="431" spans="6:20" ht="13" x14ac:dyDescent="0.15">
      <c r="F431" s="3"/>
      <c r="G431" s="3"/>
      <c r="H431" s="3"/>
      <c r="I431" s="3"/>
      <c r="J431" s="3"/>
      <c r="K431" s="3"/>
      <c r="L431" s="3"/>
      <c r="M431" s="3"/>
      <c r="N431" s="3"/>
      <c r="O431" s="3"/>
      <c r="S431" s="3"/>
      <c r="T431" s="3"/>
    </row>
    <row r="432" spans="6:20" ht="13" x14ac:dyDescent="0.15">
      <c r="F432" s="3"/>
      <c r="G432" s="3"/>
      <c r="H432" s="3"/>
      <c r="I432" s="3"/>
      <c r="J432" s="3"/>
      <c r="K432" s="3"/>
      <c r="L432" s="3"/>
      <c r="M432" s="3"/>
      <c r="N432" s="3"/>
      <c r="O432" s="3"/>
      <c r="S432" s="3"/>
      <c r="T432" s="3"/>
    </row>
    <row r="433" spans="6:20" ht="13" x14ac:dyDescent="0.15">
      <c r="F433" s="3"/>
      <c r="G433" s="3"/>
      <c r="H433" s="3"/>
      <c r="I433" s="3"/>
      <c r="J433" s="3"/>
      <c r="K433" s="3"/>
      <c r="L433" s="3"/>
      <c r="M433" s="3"/>
      <c r="N433" s="3"/>
      <c r="O433" s="3"/>
      <c r="S433" s="3"/>
      <c r="T433" s="3"/>
    </row>
    <row r="434" spans="6:20" ht="13" x14ac:dyDescent="0.15">
      <c r="F434" s="3"/>
      <c r="G434" s="3"/>
      <c r="H434" s="3"/>
      <c r="I434" s="3"/>
      <c r="J434" s="3"/>
      <c r="K434" s="3"/>
      <c r="L434" s="3"/>
      <c r="M434" s="3"/>
      <c r="N434" s="3"/>
      <c r="O434" s="3"/>
      <c r="S434" s="3"/>
      <c r="T434" s="3"/>
    </row>
    <row r="435" spans="6:20" ht="13" x14ac:dyDescent="0.15">
      <c r="F435" s="3"/>
      <c r="G435" s="3"/>
      <c r="H435" s="3"/>
      <c r="I435" s="3"/>
      <c r="J435" s="3"/>
      <c r="K435" s="3"/>
      <c r="L435" s="3"/>
      <c r="M435" s="3"/>
      <c r="N435" s="3"/>
      <c r="O435" s="3"/>
      <c r="S435" s="3"/>
      <c r="T435" s="3"/>
    </row>
    <row r="436" spans="6:20" ht="13" x14ac:dyDescent="0.15">
      <c r="F436" s="3"/>
      <c r="G436" s="3"/>
      <c r="H436" s="3"/>
      <c r="I436" s="3"/>
      <c r="J436" s="3"/>
      <c r="K436" s="3"/>
      <c r="L436" s="3"/>
      <c r="M436" s="3"/>
      <c r="N436" s="3"/>
      <c r="O436" s="3"/>
      <c r="S436" s="3"/>
      <c r="T436" s="3"/>
    </row>
    <row r="437" spans="6:20" ht="13" x14ac:dyDescent="0.15">
      <c r="F437" s="3"/>
      <c r="G437" s="3"/>
      <c r="H437" s="3"/>
      <c r="I437" s="3"/>
      <c r="J437" s="3"/>
      <c r="K437" s="3"/>
      <c r="L437" s="3"/>
      <c r="M437" s="3"/>
      <c r="N437" s="3"/>
      <c r="O437" s="3"/>
      <c r="S437" s="3"/>
      <c r="T437" s="3"/>
    </row>
    <row r="438" spans="6:20" ht="13" x14ac:dyDescent="0.15">
      <c r="F438" s="3"/>
      <c r="G438" s="3"/>
      <c r="H438" s="3"/>
      <c r="I438" s="3"/>
      <c r="J438" s="3"/>
      <c r="K438" s="3"/>
      <c r="L438" s="3"/>
      <c r="M438" s="3"/>
      <c r="N438" s="3"/>
      <c r="O438" s="3"/>
      <c r="S438" s="3"/>
      <c r="T438" s="3"/>
    </row>
    <row r="439" spans="6:20" ht="13" x14ac:dyDescent="0.15">
      <c r="F439" s="3"/>
      <c r="G439" s="3"/>
      <c r="H439" s="3"/>
      <c r="I439" s="3"/>
      <c r="J439" s="3"/>
      <c r="K439" s="3"/>
      <c r="L439" s="3"/>
      <c r="M439" s="3"/>
      <c r="N439" s="3"/>
      <c r="O439" s="3"/>
      <c r="S439" s="3"/>
      <c r="T439" s="3"/>
    </row>
    <row r="440" spans="6:20" ht="13" x14ac:dyDescent="0.15">
      <c r="F440" s="3"/>
      <c r="G440" s="3"/>
      <c r="H440" s="3"/>
      <c r="I440" s="3"/>
      <c r="J440" s="3"/>
      <c r="K440" s="3"/>
      <c r="L440" s="3"/>
      <c r="M440" s="3"/>
      <c r="N440" s="3"/>
      <c r="O440" s="3"/>
      <c r="S440" s="3"/>
      <c r="T440" s="3"/>
    </row>
    <row r="441" spans="6:20" ht="13" x14ac:dyDescent="0.15">
      <c r="F441" s="3"/>
      <c r="G441" s="3"/>
      <c r="H441" s="3"/>
      <c r="I441" s="3"/>
      <c r="J441" s="3"/>
      <c r="K441" s="3"/>
      <c r="L441" s="3"/>
      <c r="M441" s="3"/>
      <c r="N441" s="3"/>
      <c r="O441" s="3"/>
      <c r="S441" s="3"/>
      <c r="T441" s="3"/>
    </row>
    <row r="442" spans="6:20" ht="13" x14ac:dyDescent="0.15">
      <c r="F442" s="3"/>
      <c r="G442" s="3"/>
      <c r="H442" s="3"/>
      <c r="I442" s="3"/>
      <c r="J442" s="3"/>
      <c r="K442" s="3"/>
      <c r="L442" s="3"/>
      <c r="M442" s="3"/>
      <c r="N442" s="3"/>
      <c r="O442" s="3"/>
      <c r="S442" s="3"/>
      <c r="T442" s="3"/>
    </row>
    <row r="443" spans="6:20" ht="13" x14ac:dyDescent="0.15">
      <c r="F443" s="3"/>
      <c r="G443" s="3"/>
      <c r="H443" s="3"/>
      <c r="I443" s="3"/>
      <c r="J443" s="3"/>
      <c r="K443" s="3"/>
      <c r="L443" s="3"/>
      <c r="M443" s="3"/>
      <c r="N443" s="3"/>
      <c r="O443" s="3"/>
      <c r="S443" s="3"/>
      <c r="T443" s="3"/>
    </row>
    <row r="444" spans="6:20" ht="13" x14ac:dyDescent="0.15">
      <c r="F444" s="3"/>
      <c r="G444" s="3"/>
      <c r="H444" s="3"/>
      <c r="I444" s="3"/>
      <c r="J444" s="3"/>
      <c r="K444" s="3"/>
      <c r="L444" s="3"/>
      <c r="M444" s="3"/>
      <c r="N444" s="3"/>
      <c r="O444" s="3"/>
      <c r="S444" s="3"/>
      <c r="T444" s="3"/>
    </row>
    <row r="445" spans="6:20" ht="13" x14ac:dyDescent="0.15">
      <c r="F445" s="3"/>
      <c r="G445" s="3"/>
      <c r="H445" s="3"/>
      <c r="I445" s="3"/>
      <c r="J445" s="3"/>
      <c r="K445" s="3"/>
      <c r="L445" s="3"/>
      <c r="M445" s="3"/>
      <c r="N445" s="3"/>
      <c r="O445" s="3"/>
      <c r="S445" s="3"/>
      <c r="T445" s="3"/>
    </row>
    <row r="446" spans="6:20" ht="13" x14ac:dyDescent="0.15">
      <c r="F446" s="3"/>
      <c r="G446" s="3"/>
      <c r="H446" s="3"/>
      <c r="I446" s="3"/>
      <c r="J446" s="3"/>
      <c r="K446" s="3"/>
      <c r="L446" s="3"/>
      <c r="M446" s="3"/>
      <c r="N446" s="3"/>
      <c r="O446" s="3"/>
      <c r="S446" s="3"/>
      <c r="T446" s="3"/>
    </row>
    <row r="447" spans="6:20" ht="13" x14ac:dyDescent="0.15">
      <c r="F447" s="3"/>
      <c r="G447" s="3"/>
      <c r="H447" s="3"/>
      <c r="I447" s="3"/>
      <c r="J447" s="3"/>
      <c r="K447" s="3"/>
      <c r="L447" s="3"/>
      <c r="M447" s="3"/>
      <c r="N447" s="3"/>
      <c r="O447" s="3"/>
      <c r="S447" s="3"/>
      <c r="T447" s="3"/>
    </row>
    <row r="448" spans="6:20" ht="13" x14ac:dyDescent="0.15">
      <c r="F448" s="3"/>
      <c r="G448" s="3"/>
      <c r="H448" s="3"/>
      <c r="I448" s="3"/>
      <c r="J448" s="3"/>
      <c r="K448" s="3"/>
      <c r="L448" s="3"/>
      <c r="M448" s="3"/>
      <c r="N448" s="3"/>
      <c r="O448" s="3"/>
      <c r="S448" s="3"/>
      <c r="T448" s="3"/>
    </row>
    <row r="449" spans="6:20" ht="13" x14ac:dyDescent="0.15">
      <c r="F449" s="3"/>
      <c r="G449" s="3"/>
      <c r="H449" s="3"/>
      <c r="I449" s="3"/>
      <c r="J449" s="3"/>
      <c r="K449" s="3"/>
      <c r="L449" s="3"/>
      <c r="M449" s="3"/>
      <c r="N449" s="3"/>
      <c r="O449" s="3"/>
      <c r="S449" s="3"/>
      <c r="T449" s="3"/>
    </row>
    <row r="450" spans="6:20" ht="13" x14ac:dyDescent="0.15">
      <c r="F450" s="3"/>
      <c r="G450" s="3"/>
      <c r="H450" s="3"/>
      <c r="I450" s="3"/>
      <c r="J450" s="3"/>
      <c r="K450" s="3"/>
      <c r="L450" s="3"/>
      <c r="M450" s="3"/>
      <c r="N450" s="3"/>
      <c r="O450" s="3"/>
      <c r="S450" s="3"/>
      <c r="T450" s="3"/>
    </row>
    <row r="451" spans="6:20" ht="13" x14ac:dyDescent="0.15">
      <c r="F451" s="3"/>
      <c r="G451" s="3"/>
      <c r="H451" s="3"/>
      <c r="I451" s="3"/>
      <c r="J451" s="3"/>
      <c r="K451" s="3"/>
      <c r="L451" s="3"/>
      <c r="M451" s="3"/>
      <c r="N451" s="3"/>
      <c r="O451" s="3"/>
      <c r="S451" s="3"/>
      <c r="T451" s="3"/>
    </row>
    <row r="452" spans="6:20" ht="13" x14ac:dyDescent="0.15">
      <c r="F452" s="3"/>
      <c r="G452" s="3"/>
      <c r="H452" s="3"/>
      <c r="I452" s="3"/>
      <c r="J452" s="3"/>
      <c r="K452" s="3"/>
      <c r="L452" s="3"/>
      <c r="M452" s="3"/>
      <c r="N452" s="3"/>
      <c r="O452" s="3"/>
      <c r="S452" s="3"/>
      <c r="T452" s="3"/>
    </row>
    <row r="453" spans="6:20" ht="13" x14ac:dyDescent="0.15">
      <c r="F453" s="3"/>
      <c r="G453" s="3"/>
      <c r="H453" s="3"/>
      <c r="I453" s="3"/>
      <c r="J453" s="3"/>
      <c r="K453" s="3"/>
      <c r="L453" s="3"/>
      <c r="M453" s="3"/>
      <c r="N453" s="3"/>
      <c r="O453" s="3"/>
      <c r="S453" s="3"/>
      <c r="T453" s="3"/>
    </row>
    <row r="454" spans="6:20" ht="13" x14ac:dyDescent="0.15">
      <c r="F454" s="3"/>
      <c r="G454" s="3"/>
      <c r="H454" s="3"/>
      <c r="I454" s="3"/>
      <c r="J454" s="3"/>
      <c r="K454" s="3"/>
      <c r="L454" s="3"/>
      <c r="M454" s="3"/>
      <c r="N454" s="3"/>
      <c r="O454" s="3"/>
      <c r="S454" s="3"/>
      <c r="T454" s="3"/>
    </row>
    <row r="455" spans="6:20" ht="13" x14ac:dyDescent="0.15">
      <c r="F455" s="3"/>
      <c r="G455" s="3"/>
      <c r="H455" s="3"/>
      <c r="I455" s="3"/>
      <c r="J455" s="3"/>
      <c r="K455" s="3"/>
      <c r="L455" s="3"/>
      <c r="M455" s="3"/>
      <c r="N455" s="3"/>
      <c r="O455" s="3"/>
      <c r="S455" s="3"/>
      <c r="T455" s="3"/>
    </row>
    <row r="456" spans="6:20" ht="13" x14ac:dyDescent="0.15">
      <c r="F456" s="3"/>
      <c r="G456" s="3"/>
      <c r="H456" s="3"/>
      <c r="I456" s="3"/>
      <c r="J456" s="3"/>
      <c r="K456" s="3"/>
      <c r="L456" s="3"/>
      <c r="M456" s="3"/>
      <c r="N456" s="3"/>
      <c r="O456" s="3"/>
      <c r="S456" s="3"/>
      <c r="T456" s="3"/>
    </row>
    <row r="457" spans="6:20" ht="13" x14ac:dyDescent="0.15">
      <c r="F457" s="3"/>
      <c r="G457" s="3"/>
      <c r="H457" s="3"/>
      <c r="I457" s="3"/>
      <c r="J457" s="3"/>
      <c r="K457" s="3"/>
      <c r="L457" s="3"/>
      <c r="M457" s="3"/>
      <c r="N457" s="3"/>
      <c r="O457" s="3"/>
      <c r="S457" s="3"/>
      <c r="T457" s="3"/>
    </row>
    <row r="458" spans="6:20" ht="13" x14ac:dyDescent="0.15">
      <c r="F458" s="3"/>
      <c r="G458" s="3"/>
      <c r="H458" s="3"/>
      <c r="I458" s="3"/>
      <c r="J458" s="3"/>
      <c r="K458" s="3"/>
      <c r="L458" s="3"/>
      <c r="M458" s="3"/>
      <c r="N458" s="3"/>
      <c r="O458" s="3"/>
      <c r="S458" s="3"/>
      <c r="T458" s="3"/>
    </row>
    <row r="459" spans="6:20" ht="13" x14ac:dyDescent="0.15">
      <c r="F459" s="3"/>
      <c r="G459" s="3"/>
      <c r="H459" s="3"/>
      <c r="I459" s="3"/>
      <c r="J459" s="3"/>
      <c r="K459" s="3"/>
      <c r="L459" s="3"/>
      <c r="M459" s="3"/>
      <c r="N459" s="3"/>
      <c r="O459" s="3"/>
      <c r="S459" s="3"/>
      <c r="T459" s="3"/>
    </row>
    <row r="460" spans="6:20" ht="13" x14ac:dyDescent="0.15">
      <c r="F460" s="3"/>
      <c r="G460" s="3"/>
      <c r="H460" s="3"/>
      <c r="I460" s="3"/>
      <c r="J460" s="3"/>
      <c r="K460" s="3"/>
      <c r="L460" s="3"/>
      <c r="M460" s="3"/>
      <c r="N460" s="3"/>
      <c r="O460" s="3"/>
      <c r="S460" s="3"/>
      <c r="T460" s="3"/>
    </row>
    <row r="461" spans="6:20" ht="13" x14ac:dyDescent="0.15">
      <c r="F461" s="3"/>
      <c r="G461" s="3"/>
      <c r="H461" s="3"/>
      <c r="I461" s="3"/>
      <c r="J461" s="3"/>
      <c r="K461" s="3"/>
      <c r="L461" s="3"/>
      <c r="M461" s="3"/>
      <c r="N461" s="3"/>
      <c r="O461" s="3"/>
      <c r="S461" s="3"/>
      <c r="T461" s="3"/>
    </row>
    <row r="462" spans="6:20" ht="13" x14ac:dyDescent="0.15">
      <c r="F462" s="3"/>
      <c r="G462" s="3"/>
      <c r="H462" s="3"/>
      <c r="I462" s="3"/>
      <c r="J462" s="3"/>
      <c r="K462" s="3"/>
      <c r="L462" s="3"/>
      <c r="M462" s="3"/>
      <c r="N462" s="3"/>
      <c r="O462" s="3"/>
      <c r="S462" s="3"/>
      <c r="T462" s="3"/>
    </row>
    <row r="463" spans="6:20" ht="13" x14ac:dyDescent="0.15">
      <c r="F463" s="3"/>
      <c r="G463" s="3"/>
      <c r="H463" s="3"/>
      <c r="I463" s="3"/>
      <c r="J463" s="3"/>
      <c r="K463" s="3"/>
      <c r="L463" s="3"/>
      <c r="M463" s="3"/>
      <c r="N463" s="3"/>
      <c r="O463" s="3"/>
      <c r="S463" s="3"/>
      <c r="T463" s="3"/>
    </row>
    <row r="464" spans="6:20" ht="13" x14ac:dyDescent="0.15">
      <c r="F464" s="3"/>
      <c r="G464" s="3"/>
      <c r="H464" s="3"/>
      <c r="I464" s="3"/>
      <c r="J464" s="3"/>
      <c r="K464" s="3"/>
      <c r="L464" s="3"/>
      <c r="M464" s="3"/>
      <c r="N464" s="3"/>
      <c r="O464" s="3"/>
      <c r="S464" s="3"/>
      <c r="T464" s="3"/>
    </row>
    <row r="465" spans="6:20" ht="13" x14ac:dyDescent="0.15">
      <c r="F465" s="3"/>
      <c r="G465" s="3"/>
      <c r="H465" s="3"/>
      <c r="I465" s="3"/>
      <c r="J465" s="3"/>
      <c r="K465" s="3"/>
      <c r="L465" s="3"/>
      <c r="M465" s="3"/>
      <c r="N465" s="3"/>
      <c r="O465" s="3"/>
      <c r="S465" s="3"/>
      <c r="T465" s="3"/>
    </row>
    <row r="466" spans="6:20" ht="13" x14ac:dyDescent="0.15">
      <c r="F466" s="3"/>
      <c r="G466" s="3"/>
      <c r="H466" s="3"/>
      <c r="I466" s="3"/>
      <c r="J466" s="3"/>
      <c r="K466" s="3"/>
      <c r="L466" s="3"/>
      <c r="M466" s="3"/>
      <c r="N466" s="3"/>
      <c r="O466" s="3"/>
      <c r="S466" s="3"/>
      <c r="T466" s="3"/>
    </row>
    <row r="467" spans="6:20" ht="13" x14ac:dyDescent="0.15">
      <c r="F467" s="3"/>
      <c r="G467" s="3"/>
      <c r="H467" s="3"/>
      <c r="I467" s="3"/>
      <c r="J467" s="3"/>
      <c r="K467" s="3"/>
      <c r="L467" s="3"/>
      <c r="M467" s="3"/>
      <c r="N467" s="3"/>
      <c r="O467" s="3"/>
      <c r="S467" s="3"/>
      <c r="T467" s="3"/>
    </row>
    <row r="468" spans="6:20" ht="13" x14ac:dyDescent="0.15">
      <c r="F468" s="3"/>
      <c r="G468" s="3"/>
      <c r="H468" s="3"/>
      <c r="I468" s="3"/>
      <c r="J468" s="3"/>
      <c r="K468" s="3"/>
      <c r="L468" s="3"/>
      <c r="M468" s="3"/>
      <c r="N468" s="3"/>
      <c r="O468" s="3"/>
      <c r="S468" s="3"/>
      <c r="T468" s="3"/>
    </row>
    <row r="469" spans="6:20" ht="13" x14ac:dyDescent="0.15">
      <c r="F469" s="3"/>
      <c r="G469" s="3"/>
      <c r="H469" s="3"/>
      <c r="I469" s="3"/>
      <c r="J469" s="3"/>
      <c r="K469" s="3"/>
      <c r="L469" s="3"/>
      <c r="M469" s="3"/>
      <c r="N469" s="3"/>
      <c r="O469" s="3"/>
      <c r="S469" s="3"/>
      <c r="T469" s="3"/>
    </row>
    <row r="470" spans="6:20" ht="13" x14ac:dyDescent="0.15">
      <c r="F470" s="3"/>
      <c r="G470" s="3"/>
      <c r="H470" s="3"/>
      <c r="I470" s="3"/>
      <c r="J470" s="3"/>
      <c r="K470" s="3"/>
      <c r="L470" s="3"/>
      <c r="M470" s="3"/>
      <c r="N470" s="3"/>
      <c r="O470" s="3"/>
      <c r="S470" s="3"/>
      <c r="T470" s="3"/>
    </row>
    <row r="471" spans="6:20" ht="13" x14ac:dyDescent="0.15">
      <c r="F471" s="3"/>
      <c r="G471" s="3"/>
      <c r="H471" s="3"/>
      <c r="I471" s="3"/>
      <c r="J471" s="3"/>
      <c r="K471" s="3"/>
      <c r="L471" s="3"/>
      <c r="M471" s="3"/>
      <c r="N471" s="3"/>
      <c r="O471" s="3"/>
      <c r="S471" s="3"/>
      <c r="T471" s="3"/>
    </row>
    <row r="472" spans="6:20" ht="13" x14ac:dyDescent="0.15">
      <c r="F472" s="3"/>
      <c r="G472" s="3"/>
      <c r="H472" s="3"/>
      <c r="I472" s="3"/>
      <c r="J472" s="3"/>
      <c r="K472" s="3"/>
      <c r="L472" s="3"/>
      <c r="M472" s="3"/>
      <c r="N472" s="3"/>
      <c r="O472" s="3"/>
      <c r="S472" s="3"/>
      <c r="T472" s="3"/>
    </row>
    <row r="473" spans="6:20" ht="13" x14ac:dyDescent="0.15">
      <c r="F473" s="3"/>
      <c r="G473" s="3"/>
      <c r="H473" s="3"/>
      <c r="I473" s="3"/>
      <c r="J473" s="3"/>
      <c r="K473" s="3"/>
      <c r="L473" s="3"/>
      <c r="M473" s="3"/>
      <c r="N473" s="3"/>
      <c r="O473" s="3"/>
      <c r="S473" s="3"/>
      <c r="T473" s="3"/>
    </row>
    <row r="474" spans="6:20" ht="13" x14ac:dyDescent="0.15">
      <c r="F474" s="3"/>
      <c r="G474" s="3"/>
      <c r="H474" s="3"/>
      <c r="I474" s="3"/>
      <c r="J474" s="3"/>
      <c r="K474" s="3"/>
      <c r="L474" s="3"/>
      <c r="M474" s="3"/>
      <c r="N474" s="3"/>
      <c r="O474" s="3"/>
      <c r="S474" s="3"/>
      <c r="T474" s="3"/>
    </row>
    <row r="475" spans="6:20" ht="13" x14ac:dyDescent="0.15">
      <c r="F475" s="3"/>
      <c r="G475" s="3"/>
      <c r="H475" s="3"/>
      <c r="I475" s="3"/>
      <c r="J475" s="3"/>
      <c r="K475" s="3"/>
      <c r="L475" s="3"/>
      <c r="M475" s="3"/>
      <c r="N475" s="3"/>
      <c r="O475" s="3"/>
      <c r="S475" s="3"/>
      <c r="T475" s="3"/>
    </row>
    <row r="476" spans="6:20" ht="13" x14ac:dyDescent="0.15">
      <c r="F476" s="3"/>
      <c r="G476" s="3"/>
      <c r="H476" s="3"/>
      <c r="I476" s="3"/>
      <c r="J476" s="3"/>
      <c r="K476" s="3"/>
      <c r="L476" s="3"/>
      <c r="M476" s="3"/>
      <c r="N476" s="3"/>
      <c r="O476" s="3"/>
      <c r="S476" s="3"/>
      <c r="T476" s="3"/>
    </row>
    <row r="477" spans="6:20" ht="13" x14ac:dyDescent="0.15">
      <c r="F477" s="3"/>
      <c r="G477" s="3"/>
      <c r="H477" s="3"/>
      <c r="I477" s="3"/>
      <c r="J477" s="3"/>
      <c r="K477" s="3"/>
      <c r="L477" s="3"/>
      <c r="M477" s="3"/>
      <c r="N477" s="3"/>
      <c r="O477" s="3"/>
      <c r="S477" s="3"/>
      <c r="T477" s="3"/>
    </row>
    <row r="478" spans="6:20" ht="13" x14ac:dyDescent="0.15">
      <c r="F478" s="3"/>
      <c r="G478" s="3"/>
      <c r="H478" s="3"/>
      <c r="I478" s="3"/>
      <c r="J478" s="3"/>
      <c r="K478" s="3"/>
      <c r="L478" s="3"/>
      <c r="M478" s="3"/>
      <c r="N478" s="3"/>
      <c r="O478" s="3"/>
      <c r="S478" s="3"/>
      <c r="T478" s="3"/>
    </row>
    <row r="479" spans="6:20" ht="13" x14ac:dyDescent="0.15">
      <c r="F479" s="3"/>
      <c r="G479" s="3"/>
      <c r="H479" s="3"/>
      <c r="I479" s="3"/>
      <c r="J479" s="3"/>
      <c r="K479" s="3"/>
      <c r="L479" s="3"/>
      <c r="M479" s="3"/>
      <c r="N479" s="3"/>
      <c r="O479" s="3"/>
      <c r="S479" s="3"/>
      <c r="T479" s="3"/>
    </row>
    <row r="480" spans="6:20" ht="13" x14ac:dyDescent="0.15">
      <c r="F480" s="3"/>
      <c r="G480" s="3"/>
      <c r="H480" s="3"/>
      <c r="I480" s="3"/>
      <c r="J480" s="3"/>
      <c r="K480" s="3"/>
      <c r="L480" s="3"/>
      <c r="M480" s="3"/>
      <c r="N480" s="3"/>
      <c r="O480" s="3"/>
      <c r="S480" s="3"/>
      <c r="T480" s="3"/>
    </row>
    <row r="481" spans="6:20" ht="13" x14ac:dyDescent="0.15">
      <c r="F481" s="3"/>
      <c r="G481" s="3"/>
      <c r="H481" s="3"/>
      <c r="I481" s="3"/>
      <c r="J481" s="3"/>
      <c r="K481" s="3"/>
      <c r="L481" s="3"/>
      <c r="M481" s="3"/>
      <c r="N481" s="3"/>
      <c r="O481" s="3"/>
      <c r="S481" s="3"/>
      <c r="T481" s="3"/>
    </row>
    <row r="482" spans="6:20" ht="13" x14ac:dyDescent="0.15">
      <c r="F482" s="3"/>
      <c r="G482" s="3"/>
      <c r="H482" s="3"/>
      <c r="I482" s="3"/>
      <c r="J482" s="3"/>
      <c r="K482" s="3"/>
      <c r="L482" s="3"/>
      <c r="M482" s="3"/>
      <c r="N482" s="3"/>
      <c r="O482" s="3"/>
      <c r="S482" s="3"/>
      <c r="T482" s="3"/>
    </row>
    <row r="483" spans="6:20" ht="13" x14ac:dyDescent="0.15">
      <c r="F483" s="3"/>
      <c r="G483" s="3"/>
      <c r="H483" s="3"/>
      <c r="I483" s="3"/>
      <c r="J483" s="3"/>
      <c r="K483" s="3"/>
      <c r="L483" s="3"/>
      <c r="M483" s="3"/>
      <c r="N483" s="3"/>
      <c r="O483" s="3"/>
      <c r="S483" s="3"/>
      <c r="T483" s="3"/>
    </row>
    <row r="484" spans="6:20" ht="13" x14ac:dyDescent="0.15">
      <c r="F484" s="3"/>
      <c r="G484" s="3"/>
      <c r="H484" s="3"/>
      <c r="I484" s="3"/>
      <c r="J484" s="3"/>
      <c r="K484" s="3"/>
      <c r="L484" s="3"/>
      <c r="M484" s="3"/>
      <c r="N484" s="3"/>
      <c r="O484" s="3"/>
      <c r="S484" s="3"/>
      <c r="T484" s="3"/>
    </row>
    <row r="485" spans="6:20" ht="13" x14ac:dyDescent="0.15">
      <c r="F485" s="3"/>
      <c r="G485" s="3"/>
      <c r="H485" s="3"/>
      <c r="I485" s="3"/>
      <c r="J485" s="3"/>
      <c r="K485" s="3"/>
      <c r="L485" s="3"/>
      <c r="M485" s="3"/>
      <c r="N485" s="3"/>
      <c r="O485" s="3"/>
      <c r="S485" s="3"/>
      <c r="T485" s="3"/>
    </row>
    <row r="486" spans="6:20" ht="13" x14ac:dyDescent="0.15">
      <c r="F486" s="3"/>
      <c r="G486" s="3"/>
      <c r="H486" s="3"/>
      <c r="I486" s="3"/>
      <c r="J486" s="3"/>
      <c r="K486" s="3"/>
      <c r="L486" s="3"/>
      <c r="M486" s="3"/>
      <c r="N486" s="3"/>
      <c r="O486" s="3"/>
      <c r="S486" s="3"/>
      <c r="T486" s="3"/>
    </row>
    <row r="487" spans="6:20" ht="13" x14ac:dyDescent="0.15">
      <c r="F487" s="3"/>
      <c r="G487" s="3"/>
      <c r="H487" s="3"/>
      <c r="I487" s="3"/>
      <c r="J487" s="3"/>
      <c r="K487" s="3"/>
      <c r="L487" s="3"/>
      <c r="M487" s="3"/>
      <c r="N487" s="3"/>
      <c r="O487" s="3"/>
      <c r="S487" s="3"/>
      <c r="T487" s="3"/>
    </row>
    <row r="488" spans="6:20" ht="13" x14ac:dyDescent="0.15">
      <c r="F488" s="3"/>
      <c r="G488" s="3"/>
      <c r="H488" s="3"/>
      <c r="I488" s="3"/>
      <c r="J488" s="3"/>
      <c r="K488" s="3"/>
      <c r="L488" s="3"/>
      <c r="M488" s="3"/>
      <c r="N488" s="3"/>
      <c r="O488" s="3"/>
      <c r="S488" s="3"/>
      <c r="T488" s="3"/>
    </row>
    <row r="489" spans="6:20" ht="13" x14ac:dyDescent="0.15">
      <c r="F489" s="3"/>
      <c r="G489" s="3"/>
      <c r="H489" s="3"/>
      <c r="I489" s="3"/>
      <c r="J489" s="3"/>
      <c r="K489" s="3"/>
      <c r="L489" s="3"/>
      <c r="M489" s="3"/>
      <c r="N489" s="3"/>
      <c r="O489" s="3"/>
      <c r="S489" s="3"/>
      <c r="T489" s="3"/>
    </row>
    <row r="490" spans="6:20" ht="13" x14ac:dyDescent="0.15">
      <c r="F490" s="3"/>
      <c r="G490" s="3"/>
      <c r="H490" s="3"/>
      <c r="I490" s="3"/>
      <c r="J490" s="3"/>
      <c r="K490" s="3"/>
      <c r="L490" s="3"/>
      <c r="M490" s="3"/>
      <c r="N490" s="3"/>
      <c r="O490" s="3"/>
      <c r="S490" s="3"/>
      <c r="T490" s="3"/>
    </row>
    <row r="491" spans="6:20" ht="13" x14ac:dyDescent="0.15">
      <c r="F491" s="3"/>
      <c r="G491" s="3"/>
      <c r="H491" s="3"/>
      <c r="I491" s="3"/>
      <c r="J491" s="3"/>
      <c r="K491" s="3"/>
      <c r="L491" s="3"/>
      <c r="M491" s="3"/>
      <c r="N491" s="3"/>
      <c r="O491" s="3"/>
      <c r="S491" s="3"/>
      <c r="T491" s="3"/>
    </row>
    <row r="492" spans="6:20" ht="13" x14ac:dyDescent="0.15">
      <c r="F492" s="3"/>
      <c r="G492" s="3"/>
      <c r="H492" s="3"/>
      <c r="I492" s="3"/>
      <c r="J492" s="3"/>
      <c r="K492" s="3"/>
      <c r="L492" s="3"/>
      <c r="M492" s="3"/>
      <c r="N492" s="3"/>
      <c r="O492" s="3"/>
      <c r="S492" s="3"/>
      <c r="T492" s="3"/>
    </row>
    <row r="493" spans="6:20" ht="13" x14ac:dyDescent="0.15">
      <c r="F493" s="3"/>
      <c r="G493" s="3"/>
      <c r="H493" s="3"/>
      <c r="I493" s="3"/>
      <c r="J493" s="3"/>
      <c r="K493" s="3"/>
      <c r="L493" s="3"/>
      <c r="M493" s="3"/>
      <c r="N493" s="3"/>
      <c r="O493" s="3"/>
      <c r="S493" s="3"/>
      <c r="T493" s="3"/>
    </row>
    <row r="494" spans="6:20" ht="13" x14ac:dyDescent="0.15">
      <c r="F494" s="3"/>
      <c r="G494" s="3"/>
      <c r="H494" s="3"/>
      <c r="I494" s="3"/>
      <c r="J494" s="3"/>
      <c r="K494" s="3"/>
      <c r="L494" s="3"/>
      <c r="M494" s="3"/>
      <c r="N494" s="3"/>
      <c r="O494" s="3"/>
      <c r="S494" s="3"/>
      <c r="T494" s="3"/>
    </row>
    <row r="495" spans="6:20" ht="13" x14ac:dyDescent="0.15">
      <c r="F495" s="3"/>
      <c r="G495" s="3"/>
      <c r="H495" s="3"/>
      <c r="I495" s="3"/>
      <c r="J495" s="3"/>
      <c r="K495" s="3"/>
      <c r="L495" s="3"/>
      <c r="M495" s="3"/>
      <c r="N495" s="3"/>
      <c r="O495" s="3"/>
      <c r="S495" s="3"/>
      <c r="T495" s="3"/>
    </row>
    <row r="496" spans="6:20" ht="13" x14ac:dyDescent="0.15">
      <c r="F496" s="3"/>
      <c r="G496" s="3"/>
      <c r="H496" s="3"/>
      <c r="I496" s="3"/>
      <c r="J496" s="3"/>
      <c r="K496" s="3"/>
      <c r="L496" s="3"/>
      <c r="M496" s="3"/>
      <c r="N496" s="3"/>
      <c r="O496" s="3"/>
      <c r="S496" s="3"/>
      <c r="T496" s="3"/>
    </row>
    <row r="497" spans="6:20" ht="13" x14ac:dyDescent="0.15">
      <c r="F497" s="3"/>
      <c r="G497" s="3"/>
      <c r="H497" s="3"/>
      <c r="I497" s="3"/>
      <c r="J497" s="3"/>
      <c r="K497" s="3"/>
      <c r="L497" s="3"/>
      <c r="M497" s="3"/>
      <c r="N497" s="3"/>
      <c r="O497" s="3"/>
      <c r="S497" s="3"/>
      <c r="T497" s="3"/>
    </row>
    <row r="498" spans="6:20" ht="13" x14ac:dyDescent="0.15">
      <c r="F498" s="3"/>
      <c r="G498" s="3"/>
      <c r="H498" s="3"/>
      <c r="I498" s="3"/>
      <c r="J498" s="3"/>
      <c r="K498" s="3"/>
      <c r="L498" s="3"/>
      <c r="M498" s="3"/>
      <c r="N498" s="3"/>
      <c r="O498" s="3"/>
      <c r="S498" s="3"/>
      <c r="T498" s="3"/>
    </row>
    <row r="499" spans="6:20" ht="13" x14ac:dyDescent="0.15">
      <c r="F499" s="3"/>
      <c r="G499" s="3"/>
      <c r="H499" s="3"/>
      <c r="I499" s="3"/>
      <c r="J499" s="3"/>
      <c r="K499" s="3"/>
      <c r="L499" s="3"/>
      <c r="M499" s="3"/>
      <c r="N499" s="3"/>
      <c r="O499" s="3"/>
      <c r="S499" s="3"/>
      <c r="T499" s="3"/>
    </row>
    <row r="500" spans="6:20" ht="13" x14ac:dyDescent="0.15">
      <c r="F500" s="3"/>
      <c r="G500" s="3"/>
      <c r="H500" s="3"/>
      <c r="I500" s="3"/>
      <c r="J500" s="3"/>
      <c r="K500" s="3"/>
      <c r="L500" s="3"/>
      <c r="M500" s="3"/>
      <c r="N500" s="3"/>
      <c r="O500" s="3"/>
      <c r="S500" s="3"/>
      <c r="T500" s="3"/>
    </row>
    <row r="501" spans="6:20" ht="13" x14ac:dyDescent="0.15">
      <c r="F501" s="3"/>
      <c r="G501" s="3"/>
      <c r="H501" s="3"/>
      <c r="I501" s="3"/>
      <c r="J501" s="3"/>
      <c r="K501" s="3"/>
      <c r="L501" s="3"/>
      <c r="M501" s="3"/>
      <c r="N501" s="3"/>
      <c r="O501" s="3"/>
      <c r="S501" s="3"/>
      <c r="T501" s="3"/>
    </row>
    <row r="502" spans="6:20" ht="13" x14ac:dyDescent="0.15">
      <c r="F502" s="3"/>
      <c r="G502" s="3"/>
      <c r="H502" s="3"/>
      <c r="I502" s="3"/>
      <c r="J502" s="3"/>
      <c r="K502" s="3"/>
      <c r="L502" s="3"/>
      <c r="M502" s="3"/>
      <c r="N502" s="3"/>
      <c r="O502" s="3"/>
      <c r="S502" s="3"/>
      <c r="T502" s="3"/>
    </row>
    <row r="503" spans="6:20" ht="13" x14ac:dyDescent="0.15">
      <c r="F503" s="3"/>
      <c r="G503" s="3"/>
      <c r="H503" s="3"/>
      <c r="I503" s="3"/>
      <c r="J503" s="3"/>
      <c r="K503" s="3"/>
      <c r="L503" s="3"/>
      <c r="M503" s="3"/>
      <c r="N503" s="3"/>
      <c r="O503" s="3"/>
      <c r="S503" s="3"/>
      <c r="T503" s="3"/>
    </row>
    <row r="504" spans="6:20" ht="13" x14ac:dyDescent="0.15">
      <c r="F504" s="3"/>
      <c r="G504" s="3"/>
      <c r="H504" s="3"/>
      <c r="I504" s="3"/>
      <c r="J504" s="3"/>
      <c r="K504" s="3"/>
      <c r="L504" s="3"/>
      <c r="M504" s="3"/>
      <c r="N504" s="3"/>
      <c r="O504" s="3"/>
      <c r="S504" s="3"/>
      <c r="T504" s="3"/>
    </row>
    <row r="505" spans="6:20" ht="13" x14ac:dyDescent="0.15">
      <c r="F505" s="3"/>
      <c r="G505" s="3"/>
      <c r="H505" s="3"/>
      <c r="I505" s="3"/>
      <c r="J505" s="3"/>
      <c r="K505" s="3"/>
      <c r="L505" s="3"/>
      <c r="M505" s="3"/>
      <c r="N505" s="3"/>
      <c r="O505" s="3"/>
      <c r="S505" s="3"/>
      <c r="T505" s="3"/>
    </row>
    <row r="506" spans="6:20" ht="13" x14ac:dyDescent="0.15">
      <c r="F506" s="3"/>
      <c r="G506" s="3"/>
      <c r="H506" s="3"/>
      <c r="I506" s="3"/>
      <c r="J506" s="3"/>
      <c r="K506" s="3"/>
      <c r="L506" s="3"/>
      <c r="M506" s="3"/>
      <c r="N506" s="3"/>
      <c r="O506" s="3"/>
      <c r="S506" s="3"/>
      <c r="T506" s="3"/>
    </row>
    <row r="507" spans="6:20" ht="13" x14ac:dyDescent="0.15">
      <c r="F507" s="3"/>
      <c r="G507" s="3"/>
      <c r="H507" s="3"/>
      <c r="I507" s="3"/>
      <c r="J507" s="3"/>
      <c r="K507" s="3"/>
      <c r="L507" s="3"/>
      <c r="M507" s="3"/>
      <c r="N507" s="3"/>
      <c r="O507" s="3"/>
      <c r="S507" s="3"/>
      <c r="T507" s="3"/>
    </row>
    <row r="508" spans="6:20" ht="13" x14ac:dyDescent="0.15">
      <c r="F508" s="3"/>
      <c r="G508" s="3"/>
      <c r="H508" s="3"/>
      <c r="I508" s="3"/>
      <c r="J508" s="3"/>
      <c r="K508" s="3"/>
      <c r="L508" s="3"/>
      <c r="M508" s="3"/>
      <c r="N508" s="3"/>
      <c r="O508" s="3"/>
      <c r="S508" s="3"/>
      <c r="T508" s="3"/>
    </row>
    <row r="509" spans="6:20" ht="13" x14ac:dyDescent="0.15">
      <c r="F509" s="3"/>
      <c r="G509" s="3"/>
      <c r="H509" s="3"/>
      <c r="I509" s="3"/>
      <c r="J509" s="3"/>
      <c r="K509" s="3"/>
      <c r="L509" s="3"/>
      <c r="M509" s="3"/>
      <c r="N509" s="3"/>
      <c r="O509" s="3"/>
      <c r="S509" s="3"/>
      <c r="T509" s="3"/>
    </row>
    <row r="510" spans="6:20" ht="13" x14ac:dyDescent="0.15">
      <c r="F510" s="3"/>
      <c r="G510" s="3"/>
      <c r="H510" s="3"/>
      <c r="I510" s="3"/>
      <c r="J510" s="3"/>
      <c r="K510" s="3"/>
      <c r="L510" s="3"/>
      <c r="M510" s="3"/>
      <c r="N510" s="3"/>
      <c r="O510" s="3"/>
      <c r="S510" s="3"/>
      <c r="T510" s="3"/>
    </row>
    <row r="511" spans="6:20" ht="13" x14ac:dyDescent="0.15">
      <c r="F511" s="3"/>
      <c r="G511" s="3"/>
      <c r="H511" s="3"/>
      <c r="I511" s="3"/>
      <c r="J511" s="3"/>
      <c r="K511" s="3"/>
      <c r="L511" s="3"/>
      <c r="M511" s="3"/>
      <c r="N511" s="3"/>
      <c r="O511" s="3"/>
      <c r="S511" s="3"/>
      <c r="T511" s="3"/>
    </row>
    <row r="512" spans="6:20" ht="13" x14ac:dyDescent="0.15">
      <c r="F512" s="3"/>
      <c r="G512" s="3"/>
      <c r="H512" s="3"/>
      <c r="I512" s="3"/>
      <c r="J512" s="3"/>
      <c r="K512" s="3"/>
      <c r="L512" s="3"/>
      <c r="M512" s="3"/>
      <c r="N512" s="3"/>
      <c r="O512" s="3"/>
      <c r="S512" s="3"/>
      <c r="T512" s="3"/>
    </row>
    <row r="513" spans="6:20" ht="13" x14ac:dyDescent="0.15">
      <c r="F513" s="3"/>
      <c r="G513" s="3"/>
      <c r="H513" s="3"/>
      <c r="I513" s="3"/>
      <c r="J513" s="3"/>
      <c r="K513" s="3"/>
      <c r="L513" s="3"/>
      <c r="M513" s="3"/>
      <c r="N513" s="3"/>
      <c r="O513" s="3"/>
      <c r="S513" s="3"/>
      <c r="T513" s="3"/>
    </row>
    <row r="514" spans="6:20" ht="13" x14ac:dyDescent="0.15">
      <c r="F514" s="3"/>
      <c r="G514" s="3"/>
      <c r="H514" s="3"/>
      <c r="I514" s="3"/>
      <c r="J514" s="3"/>
      <c r="K514" s="3"/>
      <c r="L514" s="3"/>
      <c r="M514" s="3"/>
      <c r="N514" s="3"/>
      <c r="O514" s="3"/>
      <c r="S514" s="3"/>
      <c r="T514" s="3"/>
    </row>
    <row r="515" spans="6:20" ht="13" x14ac:dyDescent="0.15">
      <c r="F515" s="3"/>
      <c r="G515" s="3"/>
      <c r="H515" s="3"/>
      <c r="I515" s="3"/>
      <c r="J515" s="3"/>
      <c r="K515" s="3"/>
      <c r="L515" s="3"/>
      <c r="M515" s="3"/>
      <c r="N515" s="3"/>
      <c r="O515" s="3"/>
      <c r="S515" s="3"/>
      <c r="T515" s="3"/>
    </row>
    <row r="516" spans="6:20" ht="13" x14ac:dyDescent="0.15">
      <c r="F516" s="3"/>
      <c r="G516" s="3"/>
      <c r="H516" s="3"/>
      <c r="I516" s="3"/>
      <c r="J516" s="3"/>
      <c r="K516" s="3"/>
      <c r="L516" s="3"/>
      <c r="M516" s="3"/>
      <c r="N516" s="3"/>
      <c r="O516" s="3"/>
      <c r="S516" s="3"/>
      <c r="T516" s="3"/>
    </row>
    <row r="517" spans="6:20" ht="13" x14ac:dyDescent="0.15">
      <c r="F517" s="3"/>
      <c r="G517" s="3"/>
      <c r="H517" s="3"/>
      <c r="I517" s="3"/>
      <c r="J517" s="3"/>
      <c r="K517" s="3"/>
      <c r="L517" s="3"/>
      <c r="M517" s="3"/>
      <c r="N517" s="3"/>
      <c r="O517" s="3"/>
      <c r="S517" s="3"/>
      <c r="T517" s="3"/>
    </row>
    <row r="518" spans="6:20" ht="13" x14ac:dyDescent="0.15">
      <c r="F518" s="3"/>
      <c r="G518" s="3"/>
      <c r="H518" s="3"/>
      <c r="I518" s="3"/>
      <c r="J518" s="3"/>
      <c r="K518" s="3"/>
      <c r="L518" s="3"/>
      <c r="M518" s="3"/>
      <c r="N518" s="3"/>
      <c r="O518" s="3"/>
      <c r="S518" s="3"/>
      <c r="T518" s="3"/>
    </row>
    <row r="519" spans="6:20" ht="13" x14ac:dyDescent="0.15">
      <c r="F519" s="3"/>
      <c r="G519" s="3"/>
      <c r="H519" s="3"/>
      <c r="I519" s="3"/>
      <c r="J519" s="3"/>
      <c r="K519" s="3"/>
      <c r="L519" s="3"/>
      <c r="M519" s="3"/>
      <c r="N519" s="3"/>
      <c r="O519" s="3"/>
      <c r="S519" s="3"/>
      <c r="T519" s="3"/>
    </row>
    <row r="520" spans="6:20" ht="13" x14ac:dyDescent="0.15">
      <c r="F520" s="3"/>
      <c r="G520" s="3"/>
      <c r="H520" s="3"/>
      <c r="I520" s="3"/>
      <c r="J520" s="3"/>
      <c r="K520" s="3"/>
      <c r="L520" s="3"/>
      <c r="M520" s="3"/>
      <c r="N520" s="3"/>
      <c r="O520" s="3"/>
      <c r="S520" s="3"/>
      <c r="T520" s="3"/>
    </row>
    <row r="521" spans="6:20" ht="13" x14ac:dyDescent="0.15">
      <c r="F521" s="3"/>
      <c r="G521" s="3"/>
      <c r="H521" s="3"/>
      <c r="I521" s="3"/>
      <c r="J521" s="3"/>
      <c r="K521" s="3"/>
      <c r="L521" s="3"/>
      <c r="M521" s="3"/>
      <c r="N521" s="3"/>
      <c r="O521" s="3"/>
      <c r="S521" s="3"/>
      <c r="T521" s="3"/>
    </row>
    <row r="522" spans="6:20" ht="13" x14ac:dyDescent="0.15">
      <c r="F522" s="3"/>
      <c r="G522" s="3"/>
      <c r="H522" s="3"/>
      <c r="I522" s="3"/>
      <c r="J522" s="3"/>
      <c r="K522" s="3"/>
      <c r="L522" s="3"/>
      <c r="M522" s="3"/>
      <c r="N522" s="3"/>
      <c r="O522" s="3"/>
      <c r="S522" s="3"/>
      <c r="T522" s="3"/>
    </row>
    <row r="523" spans="6:20" ht="13" x14ac:dyDescent="0.15">
      <c r="F523" s="3"/>
      <c r="G523" s="3"/>
      <c r="H523" s="3"/>
      <c r="I523" s="3"/>
      <c r="J523" s="3"/>
      <c r="K523" s="3"/>
      <c r="L523" s="3"/>
      <c r="M523" s="3"/>
      <c r="N523" s="3"/>
      <c r="O523" s="3"/>
      <c r="S523" s="3"/>
      <c r="T523" s="3"/>
    </row>
    <row r="524" spans="6:20" ht="13" x14ac:dyDescent="0.15">
      <c r="F524" s="3"/>
      <c r="G524" s="3"/>
      <c r="H524" s="3"/>
      <c r="I524" s="3"/>
      <c r="J524" s="3"/>
      <c r="K524" s="3"/>
      <c r="L524" s="3"/>
      <c r="M524" s="3"/>
      <c r="N524" s="3"/>
      <c r="O524" s="3"/>
      <c r="S524" s="3"/>
      <c r="T524" s="3"/>
    </row>
    <row r="525" spans="6:20" ht="13" x14ac:dyDescent="0.15">
      <c r="F525" s="3"/>
      <c r="G525" s="3"/>
      <c r="H525" s="3"/>
      <c r="I525" s="3"/>
      <c r="J525" s="3"/>
      <c r="K525" s="3"/>
      <c r="L525" s="3"/>
      <c r="M525" s="3"/>
      <c r="N525" s="3"/>
      <c r="O525" s="3"/>
      <c r="S525" s="3"/>
      <c r="T525" s="3"/>
    </row>
    <row r="526" spans="6:20" ht="13" x14ac:dyDescent="0.15">
      <c r="F526" s="3"/>
      <c r="G526" s="3"/>
      <c r="H526" s="3"/>
      <c r="I526" s="3"/>
      <c r="J526" s="3"/>
      <c r="K526" s="3"/>
      <c r="L526" s="3"/>
      <c r="M526" s="3"/>
      <c r="N526" s="3"/>
      <c r="O526" s="3"/>
      <c r="S526" s="3"/>
      <c r="T526" s="3"/>
    </row>
    <row r="527" spans="6:20" ht="13" x14ac:dyDescent="0.15">
      <c r="F527" s="3"/>
      <c r="G527" s="3"/>
      <c r="H527" s="3"/>
      <c r="I527" s="3"/>
      <c r="J527" s="3"/>
      <c r="K527" s="3"/>
      <c r="L527" s="3"/>
      <c r="M527" s="3"/>
      <c r="N527" s="3"/>
      <c r="O527" s="3"/>
      <c r="S527" s="3"/>
      <c r="T527" s="3"/>
    </row>
    <row r="528" spans="6:20" ht="13" x14ac:dyDescent="0.15">
      <c r="F528" s="3"/>
      <c r="G528" s="3"/>
      <c r="H528" s="3"/>
      <c r="I528" s="3"/>
      <c r="J528" s="3"/>
      <c r="K528" s="3"/>
      <c r="L528" s="3"/>
      <c r="M528" s="3"/>
      <c r="N528" s="3"/>
      <c r="O528" s="3"/>
      <c r="S528" s="3"/>
      <c r="T528" s="3"/>
    </row>
    <row r="529" spans="6:20" ht="13" x14ac:dyDescent="0.15">
      <c r="F529" s="3"/>
      <c r="G529" s="3"/>
      <c r="H529" s="3"/>
      <c r="I529" s="3"/>
      <c r="J529" s="3"/>
      <c r="K529" s="3"/>
      <c r="L529" s="3"/>
      <c r="M529" s="3"/>
      <c r="N529" s="3"/>
      <c r="O529" s="3"/>
      <c r="S529" s="3"/>
      <c r="T529" s="3"/>
    </row>
    <row r="530" spans="6:20" ht="13" x14ac:dyDescent="0.15">
      <c r="F530" s="3"/>
      <c r="G530" s="3"/>
      <c r="H530" s="3"/>
      <c r="I530" s="3"/>
      <c r="J530" s="3"/>
      <c r="K530" s="3"/>
      <c r="L530" s="3"/>
      <c r="M530" s="3"/>
      <c r="N530" s="3"/>
      <c r="O530" s="3"/>
      <c r="S530" s="3"/>
      <c r="T530" s="3"/>
    </row>
    <row r="531" spans="6:20" ht="13" x14ac:dyDescent="0.15">
      <c r="F531" s="3"/>
      <c r="G531" s="3"/>
      <c r="H531" s="3"/>
      <c r="I531" s="3"/>
      <c r="J531" s="3"/>
      <c r="K531" s="3"/>
      <c r="L531" s="3"/>
      <c r="M531" s="3"/>
      <c r="N531" s="3"/>
      <c r="O531" s="3"/>
      <c r="S531" s="3"/>
      <c r="T531" s="3"/>
    </row>
    <row r="532" spans="6:20" ht="13" x14ac:dyDescent="0.15">
      <c r="F532" s="3"/>
      <c r="G532" s="3"/>
      <c r="H532" s="3"/>
      <c r="I532" s="3"/>
      <c r="J532" s="3"/>
      <c r="K532" s="3"/>
      <c r="L532" s="3"/>
      <c r="M532" s="3"/>
      <c r="N532" s="3"/>
      <c r="O532" s="3"/>
      <c r="S532" s="3"/>
      <c r="T532" s="3"/>
    </row>
    <row r="533" spans="6:20" ht="13" x14ac:dyDescent="0.15">
      <c r="F533" s="3"/>
      <c r="G533" s="3"/>
      <c r="H533" s="3"/>
      <c r="I533" s="3"/>
      <c r="J533" s="3"/>
      <c r="K533" s="3"/>
      <c r="L533" s="3"/>
      <c r="M533" s="3"/>
      <c r="N533" s="3"/>
      <c r="O533" s="3"/>
      <c r="S533" s="3"/>
      <c r="T533" s="3"/>
    </row>
    <row r="534" spans="6:20" ht="13" x14ac:dyDescent="0.15">
      <c r="F534" s="3"/>
      <c r="G534" s="3"/>
      <c r="H534" s="3"/>
      <c r="I534" s="3"/>
      <c r="J534" s="3"/>
      <c r="K534" s="3"/>
      <c r="L534" s="3"/>
      <c r="M534" s="3"/>
      <c r="N534" s="3"/>
      <c r="O534" s="3"/>
      <c r="S534" s="3"/>
      <c r="T534" s="3"/>
    </row>
    <row r="535" spans="6:20" ht="13" x14ac:dyDescent="0.15">
      <c r="F535" s="3"/>
      <c r="G535" s="3"/>
      <c r="H535" s="3"/>
      <c r="I535" s="3"/>
      <c r="J535" s="3"/>
      <c r="K535" s="3"/>
      <c r="L535" s="3"/>
      <c r="M535" s="3"/>
      <c r="N535" s="3"/>
      <c r="O535" s="3"/>
      <c r="S535" s="3"/>
      <c r="T535" s="3"/>
    </row>
    <row r="536" spans="6:20" ht="13" x14ac:dyDescent="0.15">
      <c r="F536" s="3"/>
      <c r="G536" s="3"/>
      <c r="H536" s="3"/>
      <c r="I536" s="3"/>
      <c r="J536" s="3"/>
      <c r="K536" s="3"/>
      <c r="L536" s="3"/>
      <c r="M536" s="3"/>
      <c r="N536" s="3"/>
      <c r="O536" s="3"/>
      <c r="S536" s="3"/>
      <c r="T536" s="3"/>
    </row>
    <row r="537" spans="6:20" ht="13" x14ac:dyDescent="0.15">
      <c r="F537" s="3"/>
      <c r="G537" s="3"/>
      <c r="H537" s="3"/>
      <c r="I537" s="3"/>
      <c r="J537" s="3"/>
      <c r="K537" s="3"/>
      <c r="L537" s="3"/>
      <c r="M537" s="3"/>
      <c r="N537" s="3"/>
      <c r="O537" s="3"/>
      <c r="S537" s="3"/>
      <c r="T537" s="3"/>
    </row>
    <row r="538" spans="6:20" ht="13" x14ac:dyDescent="0.15">
      <c r="F538" s="3"/>
      <c r="G538" s="3"/>
      <c r="H538" s="3"/>
      <c r="I538" s="3"/>
      <c r="J538" s="3"/>
      <c r="K538" s="3"/>
      <c r="L538" s="3"/>
      <c r="M538" s="3"/>
      <c r="N538" s="3"/>
      <c r="O538" s="3"/>
      <c r="S538" s="3"/>
      <c r="T538" s="3"/>
    </row>
    <row r="539" spans="6:20" ht="13" x14ac:dyDescent="0.15">
      <c r="F539" s="3"/>
      <c r="G539" s="3"/>
      <c r="H539" s="3"/>
      <c r="I539" s="3"/>
      <c r="J539" s="3"/>
      <c r="K539" s="3"/>
      <c r="L539" s="3"/>
      <c r="M539" s="3"/>
      <c r="N539" s="3"/>
      <c r="O539" s="3"/>
      <c r="S539" s="3"/>
      <c r="T539" s="3"/>
    </row>
    <row r="540" spans="6:20" ht="13" x14ac:dyDescent="0.15">
      <c r="F540" s="3"/>
      <c r="G540" s="3"/>
      <c r="H540" s="3"/>
      <c r="I540" s="3"/>
      <c r="J540" s="3"/>
      <c r="K540" s="3"/>
      <c r="L540" s="3"/>
      <c r="M540" s="3"/>
      <c r="N540" s="3"/>
      <c r="O540" s="3"/>
      <c r="S540" s="3"/>
      <c r="T540" s="3"/>
    </row>
    <row r="541" spans="6:20" ht="13" x14ac:dyDescent="0.15">
      <c r="F541" s="3"/>
      <c r="G541" s="3"/>
      <c r="H541" s="3"/>
      <c r="I541" s="3"/>
      <c r="J541" s="3"/>
      <c r="K541" s="3"/>
      <c r="L541" s="3"/>
      <c r="M541" s="3"/>
      <c r="N541" s="3"/>
      <c r="O541" s="3"/>
      <c r="S541" s="3"/>
      <c r="T541" s="3"/>
    </row>
    <row r="542" spans="6:20" ht="13" x14ac:dyDescent="0.15">
      <c r="F542" s="3"/>
      <c r="G542" s="3"/>
      <c r="H542" s="3"/>
      <c r="I542" s="3"/>
      <c r="J542" s="3"/>
      <c r="K542" s="3"/>
      <c r="L542" s="3"/>
      <c r="M542" s="3"/>
      <c r="N542" s="3"/>
      <c r="O542" s="3"/>
      <c r="S542" s="3"/>
      <c r="T542" s="3"/>
    </row>
    <row r="543" spans="6:20" ht="13" x14ac:dyDescent="0.15">
      <c r="F543" s="3"/>
      <c r="G543" s="3"/>
      <c r="H543" s="3"/>
      <c r="I543" s="3"/>
      <c r="J543" s="3"/>
      <c r="K543" s="3"/>
      <c r="L543" s="3"/>
      <c r="M543" s="3"/>
      <c r="N543" s="3"/>
      <c r="O543" s="3"/>
      <c r="S543" s="3"/>
      <c r="T543" s="3"/>
    </row>
    <row r="544" spans="6:20" ht="13" x14ac:dyDescent="0.15">
      <c r="F544" s="3"/>
      <c r="G544" s="3"/>
      <c r="H544" s="3"/>
      <c r="I544" s="3"/>
      <c r="J544" s="3"/>
      <c r="K544" s="3"/>
      <c r="L544" s="3"/>
      <c r="M544" s="3"/>
      <c r="N544" s="3"/>
      <c r="O544" s="3"/>
      <c r="S544" s="3"/>
      <c r="T544" s="3"/>
    </row>
    <row r="545" spans="6:20" ht="13" x14ac:dyDescent="0.15">
      <c r="F545" s="3"/>
      <c r="G545" s="3"/>
      <c r="H545" s="3"/>
      <c r="I545" s="3"/>
      <c r="J545" s="3"/>
      <c r="K545" s="3"/>
      <c r="L545" s="3"/>
      <c r="M545" s="3"/>
      <c r="N545" s="3"/>
      <c r="O545" s="3"/>
      <c r="S545" s="3"/>
      <c r="T545" s="3"/>
    </row>
    <row r="546" spans="6:20" ht="13" x14ac:dyDescent="0.15">
      <c r="F546" s="3"/>
      <c r="G546" s="3"/>
      <c r="H546" s="3"/>
      <c r="I546" s="3"/>
      <c r="J546" s="3"/>
      <c r="K546" s="3"/>
      <c r="L546" s="3"/>
      <c r="M546" s="3"/>
      <c r="N546" s="3"/>
      <c r="O546" s="3"/>
      <c r="S546" s="3"/>
      <c r="T546" s="3"/>
    </row>
    <row r="547" spans="6:20" ht="13" x14ac:dyDescent="0.15">
      <c r="F547" s="3"/>
      <c r="G547" s="3"/>
      <c r="H547" s="3"/>
      <c r="I547" s="3"/>
      <c r="J547" s="3"/>
      <c r="K547" s="3"/>
      <c r="L547" s="3"/>
      <c r="M547" s="3"/>
      <c r="N547" s="3"/>
      <c r="O547" s="3"/>
      <c r="S547" s="3"/>
      <c r="T547" s="3"/>
    </row>
    <row r="548" spans="6:20" ht="13" x14ac:dyDescent="0.15">
      <c r="F548" s="3"/>
      <c r="G548" s="3"/>
      <c r="H548" s="3"/>
      <c r="I548" s="3"/>
      <c r="J548" s="3"/>
      <c r="K548" s="3"/>
      <c r="L548" s="3"/>
      <c r="M548" s="3"/>
      <c r="N548" s="3"/>
      <c r="O548" s="3"/>
      <c r="S548" s="3"/>
      <c r="T548" s="3"/>
    </row>
    <row r="549" spans="6:20" ht="13" x14ac:dyDescent="0.15">
      <c r="F549" s="3"/>
      <c r="G549" s="3"/>
      <c r="H549" s="3"/>
      <c r="I549" s="3"/>
      <c r="J549" s="3"/>
      <c r="K549" s="3"/>
      <c r="L549" s="3"/>
      <c r="M549" s="3"/>
      <c r="N549" s="3"/>
      <c r="O549" s="3"/>
      <c r="S549" s="3"/>
      <c r="T549" s="3"/>
    </row>
    <row r="550" spans="6:20" ht="13" x14ac:dyDescent="0.15">
      <c r="F550" s="3"/>
      <c r="G550" s="3"/>
      <c r="H550" s="3"/>
      <c r="I550" s="3"/>
      <c r="J550" s="3"/>
      <c r="K550" s="3"/>
      <c r="L550" s="3"/>
      <c r="M550" s="3"/>
      <c r="N550" s="3"/>
      <c r="O550" s="3"/>
      <c r="S550" s="3"/>
      <c r="T550" s="3"/>
    </row>
    <row r="551" spans="6:20" ht="13" x14ac:dyDescent="0.15">
      <c r="F551" s="3"/>
      <c r="G551" s="3"/>
      <c r="H551" s="3"/>
      <c r="I551" s="3"/>
      <c r="J551" s="3"/>
      <c r="K551" s="3"/>
      <c r="L551" s="3"/>
      <c r="M551" s="3"/>
      <c r="N551" s="3"/>
      <c r="O551" s="3"/>
      <c r="S551" s="3"/>
      <c r="T551" s="3"/>
    </row>
    <row r="552" spans="6:20" ht="13" x14ac:dyDescent="0.15">
      <c r="F552" s="3"/>
      <c r="G552" s="3"/>
      <c r="H552" s="3"/>
      <c r="I552" s="3"/>
      <c r="J552" s="3"/>
      <c r="K552" s="3"/>
      <c r="L552" s="3"/>
      <c r="M552" s="3"/>
      <c r="N552" s="3"/>
      <c r="O552" s="3"/>
      <c r="S552" s="3"/>
      <c r="T552" s="3"/>
    </row>
    <row r="553" spans="6:20" ht="13" x14ac:dyDescent="0.15">
      <c r="F553" s="3"/>
      <c r="G553" s="3"/>
      <c r="H553" s="3"/>
      <c r="I553" s="3"/>
      <c r="J553" s="3"/>
      <c r="K553" s="3"/>
      <c r="L553" s="3"/>
      <c r="M553" s="3"/>
      <c r="N553" s="3"/>
      <c r="O553" s="3"/>
      <c r="S553" s="3"/>
      <c r="T553" s="3"/>
    </row>
    <row r="554" spans="6:20" ht="13" x14ac:dyDescent="0.15">
      <c r="F554" s="3"/>
      <c r="G554" s="3"/>
      <c r="H554" s="3"/>
      <c r="I554" s="3"/>
      <c r="J554" s="3"/>
      <c r="K554" s="3"/>
      <c r="L554" s="3"/>
      <c r="M554" s="3"/>
      <c r="N554" s="3"/>
      <c r="O554" s="3"/>
      <c r="S554" s="3"/>
      <c r="T554" s="3"/>
    </row>
    <row r="555" spans="6:20" ht="13" x14ac:dyDescent="0.15">
      <c r="F555" s="3"/>
      <c r="G555" s="3"/>
      <c r="H555" s="3"/>
      <c r="I555" s="3"/>
      <c r="J555" s="3"/>
      <c r="K555" s="3"/>
      <c r="L555" s="3"/>
      <c r="M555" s="3"/>
      <c r="N555" s="3"/>
      <c r="O555" s="3"/>
      <c r="S555" s="3"/>
      <c r="T555" s="3"/>
    </row>
    <row r="556" spans="6:20" ht="13" x14ac:dyDescent="0.15">
      <c r="F556" s="3"/>
      <c r="G556" s="3"/>
      <c r="H556" s="3"/>
      <c r="I556" s="3"/>
      <c r="J556" s="3"/>
      <c r="K556" s="3"/>
      <c r="L556" s="3"/>
      <c r="M556" s="3"/>
      <c r="N556" s="3"/>
      <c r="O556" s="3"/>
      <c r="S556" s="3"/>
      <c r="T556" s="3"/>
    </row>
    <row r="557" spans="6:20" ht="13" x14ac:dyDescent="0.15">
      <c r="F557" s="3"/>
      <c r="G557" s="3"/>
      <c r="H557" s="3"/>
      <c r="I557" s="3"/>
      <c r="J557" s="3"/>
      <c r="K557" s="3"/>
      <c r="L557" s="3"/>
      <c r="M557" s="3"/>
      <c r="N557" s="3"/>
      <c r="O557" s="3"/>
      <c r="S557" s="3"/>
      <c r="T557" s="3"/>
    </row>
    <row r="558" spans="6:20" ht="13" x14ac:dyDescent="0.15">
      <c r="F558" s="3"/>
      <c r="G558" s="3"/>
      <c r="H558" s="3"/>
      <c r="I558" s="3"/>
      <c r="J558" s="3"/>
      <c r="K558" s="3"/>
      <c r="L558" s="3"/>
      <c r="M558" s="3"/>
      <c r="N558" s="3"/>
      <c r="O558" s="3"/>
      <c r="S558" s="3"/>
      <c r="T558" s="3"/>
    </row>
    <row r="559" spans="6:20" ht="13" x14ac:dyDescent="0.15">
      <c r="F559" s="3"/>
      <c r="G559" s="3"/>
      <c r="H559" s="3"/>
      <c r="I559" s="3"/>
      <c r="J559" s="3"/>
      <c r="K559" s="3"/>
      <c r="L559" s="3"/>
      <c r="M559" s="3"/>
      <c r="N559" s="3"/>
      <c r="O559" s="3"/>
      <c r="S559" s="3"/>
      <c r="T559" s="3"/>
    </row>
    <row r="560" spans="6:20" ht="13" x14ac:dyDescent="0.15">
      <c r="F560" s="3"/>
      <c r="G560" s="3"/>
      <c r="H560" s="3"/>
      <c r="I560" s="3"/>
      <c r="J560" s="3"/>
      <c r="K560" s="3"/>
      <c r="L560" s="3"/>
      <c r="M560" s="3"/>
      <c r="N560" s="3"/>
      <c r="O560" s="3"/>
      <c r="S560" s="3"/>
      <c r="T560" s="3"/>
    </row>
    <row r="561" spans="6:20" ht="13" x14ac:dyDescent="0.15">
      <c r="F561" s="3"/>
      <c r="G561" s="3"/>
      <c r="H561" s="3"/>
      <c r="I561" s="3"/>
      <c r="J561" s="3"/>
      <c r="K561" s="3"/>
      <c r="L561" s="3"/>
      <c r="M561" s="3"/>
      <c r="N561" s="3"/>
      <c r="O561" s="3"/>
      <c r="S561" s="3"/>
      <c r="T561" s="3"/>
    </row>
    <row r="562" spans="6:20" ht="13" x14ac:dyDescent="0.15">
      <c r="F562" s="3"/>
      <c r="G562" s="3"/>
      <c r="H562" s="3"/>
      <c r="I562" s="3"/>
      <c r="J562" s="3"/>
      <c r="K562" s="3"/>
      <c r="L562" s="3"/>
      <c r="M562" s="3"/>
      <c r="N562" s="3"/>
      <c r="O562" s="3"/>
      <c r="S562" s="3"/>
      <c r="T562" s="3"/>
    </row>
    <row r="563" spans="6:20" ht="13" x14ac:dyDescent="0.15">
      <c r="F563" s="3"/>
      <c r="G563" s="3"/>
      <c r="H563" s="3"/>
      <c r="I563" s="3"/>
      <c r="J563" s="3"/>
      <c r="K563" s="3"/>
      <c r="L563" s="3"/>
      <c r="M563" s="3"/>
      <c r="N563" s="3"/>
      <c r="O563" s="3"/>
      <c r="S563" s="3"/>
      <c r="T563" s="3"/>
    </row>
    <row r="564" spans="6:20" ht="13" x14ac:dyDescent="0.15">
      <c r="F564" s="3"/>
      <c r="G564" s="3"/>
      <c r="H564" s="3"/>
      <c r="I564" s="3"/>
      <c r="J564" s="3"/>
      <c r="K564" s="3"/>
      <c r="L564" s="3"/>
      <c r="M564" s="3"/>
      <c r="N564" s="3"/>
      <c r="O564" s="3"/>
      <c r="S564" s="3"/>
      <c r="T564" s="3"/>
    </row>
    <row r="565" spans="6:20" ht="13" x14ac:dyDescent="0.15">
      <c r="F565" s="3"/>
      <c r="G565" s="3"/>
      <c r="H565" s="3"/>
      <c r="I565" s="3"/>
      <c r="J565" s="3"/>
      <c r="K565" s="3"/>
      <c r="L565" s="3"/>
      <c r="M565" s="3"/>
      <c r="N565" s="3"/>
      <c r="O565" s="3"/>
      <c r="S565" s="3"/>
      <c r="T565" s="3"/>
    </row>
    <row r="566" spans="6:20" ht="13" x14ac:dyDescent="0.15">
      <c r="F566" s="3"/>
      <c r="G566" s="3"/>
      <c r="H566" s="3"/>
      <c r="I566" s="3"/>
      <c r="J566" s="3"/>
      <c r="K566" s="3"/>
      <c r="L566" s="3"/>
      <c r="M566" s="3"/>
      <c r="N566" s="3"/>
      <c r="O566" s="3"/>
      <c r="S566" s="3"/>
      <c r="T566" s="3"/>
    </row>
    <row r="567" spans="6:20" ht="13" x14ac:dyDescent="0.15">
      <c r="F567" s="3"/>
      <c r="G567" s="3"/>
      <c r="H567" s="3"/>
      <c r="I567" s="3"/>
      <c r="J567" s="3"/>
      <c r="K567" s="3"/>
      <c r="L567" s="3"/>
      <c r="M567" s="3"/>
      <c r="N567" s="3"/>
      <c r="O567" s="3"/>
      <c r="S567" s="3"/>
      <c r="T567" s="3"/>
    </row>
    <row r="568" spans="6:20" ht="13" x14ac:dyDescent="0.15">
      <c r="F568" s="3"/>
      <c r="G568" s="3"/>
      <c r="H568" s="3"/>
      <c r="I568" s="3"/>
      <c r="J568" s="3"/>
      <c r="K568" s="3"/>
      <c r="L568" s="3"/>
      <c r="M568" s="3"/>
      <c r="N568" s="3"/>
      <c r="O568" s="3"/>
      <c r="S568" s="3"/>
      <c r="T568" s="3"/>
    </row>
    <row r="569" spans="6:20" ht="13" x14ac:dyDescent="0.15">
      <c r="F569" s="3"/>
      <c r="G569" s="3"/>
      <c r="H569" s="3"/>
      <c r="I569" s="3"/>
      <c r="J569" s="3"/>
      <c r="K569" s="3"/>
      <c r="L569" s="3"/>
      <c r="M569" s="3"/>
      <c r="N569" s="3"/>
      <c r="O569" s="3"/>
      <c r="S569" s="3"/>
      <c r="T569" s="3"/>
    </row>
    <row r="570" spans="6:20" ht="13" x14ac:dyDescent="0.15">
      <c r="F570" s="3"/>
      <c r="G570" s="3"/>
      <c r="H570" s="3"/>
      <c r="I570" s="3"/>
      <c r="J570" s="3"/>
      <c r="K570" s="3"/>
      <c r="L570" s="3"/>
      <c r="M570" s="3"/>
      <c r="N570" s="3"/>
      <c r="O570" s="3"/>
      <c r="S570" s="3"/>
      <c r="T570" s="3"/>
    </row>
    <row r="571" spans="6:20" ht="13" x14ac:dyDescent="0.15">
      <c r="F571" s="3"/>
      <c r="G571" s="3"/>
      <c r="H571" s="3"/>
      <c r="I571" s="3"/>
      <c r="J571" s="3"/>
      <c r="K571" s="3"/>
      <c r="L571" s="3"/>
      <c r="M571" s="3"/>
      <c r="N571" s="3"/>
      <c r="O571" s="3"/>
      <c r="S571" s="3"/>
      <c r="T571" s="3"/>
    </row>
    <row r="572" spans="6:20" ht="13" x14ac:dyDescent="0.15">
      <c r="F572" s="3"/>
      <c r="G572" s="3"/>
      <c r="H572" s="3"/>
      <c r="I572" s="3"/>
      <c r="J572" s="3"/>
      <c r="K572" s="3"/>
      <c r="L572" s="3"/>
      <c r="M572" s="3"/>
      <c r="N572" s="3"/>
      <c r="O572" s="3"/>
      <c r="S572" s="3"/>
      <c r="T572" s="3"/>
    </row>
    <row r="573" spans="6:20" ht="13" x14ac:dyDescent="0.15">
      <c r="F573" s="3"/>
      <c r="G573" s="3"/>
      <c r="H573" s="3"/>
      <c r="I573" s="3"/>
      <c r="J573" s="3"/>
      <c r="K573" s="3"/>
      <c r="L573" s="3"/>
      <c r="M573" s="3"/>
      <c r="N573" s="3"/>
      <c r="O573" s="3"/>
      <c r="S573" s="3"/>
      <c r="T573" s="3"/>
    </row>
    <row r="574" spans="6:20" ht="13" x14ac:dyDescent="0.15">
      <c r="F574" s="3"/>
      <c r="G574" s="3"/>
      <c r="H574" s="3"/>
      <c r="I574" s="3"/>
      <c r="J574" s="3"/>
      <c r="K574" s="3"/>
      <c r="L574" s="3"/>
      <c r="M574" s="3"/>
      <c r="N574" s="3"/>
      <c r="O574" s="3"/>
      <c r="S574" s="3"/>
      <c r="T574" s="3"/>
    </row>
    <row r="575" spans="6:20" ht="13" x14ac:dyDescent="0.15">
      <c r="F575" s="3"/>
      <c r="G575" s="3"/>
      <c r="H575" s="3"/>
      <c r="I575" s="3"/>
      <c r="J575" s="3"/>
      <c r="K575" s="3"/>
      <c r="L575" s="3"/>
      <c r="M575" s="3"/>
      <c r="N575" s="3"/>
      <c r="O575" s="3"/>
      <c r="S575" s="3"/>
      <c r="T575" s="3"/>
    </row>
    <row r="576" spans="6:20" ht="13" x14ac:dyDescent="0.15">
      <c r="F576" s="3"/>
      <c r="G576" s="3"/>
      <c r="H576" s="3"/>
      <c r="I576" s="3"/>
      <c r="J576" s="3"/>
      <c r="K576" s="3"/>
      <c r="L576" s="3"/>
      <c r="M576" s="3"/>
      <c r="N576" s="3"/>
      <c r="O576" s="3"/>
      <c r="S576" s="3"/>
      <c r="T576" s="3"/>
    </row>
    <row r="577" spans="6:20" ht="13" x14ac:dyDescent="0.15">
      <c r="F577" s="3"/>
      <c r="G577" s="3"/>
      <c r="H577" s="3"/>
      <c r="I577" s="3"/>
      <c r="J577" s="3"/>
      <c r="K577" s="3"/>
      <c r="L577" s="3"/>
      <c r="M577" s="3"/>
      <c r="N577" s="3"/>
      <c r="O577" s="3"/>
      <c r="S577" s="3"/>
      <c r="T577" s="3"/>
    </row>
    <row r="578" spans="6:20" ht="13" x14ac:dyDescent="0.15">
      <c r="F578" s="3"/>
      <c r="G578" s="3"/>
      <c r="H578" s="3"/>
      <c r="I578" s="3"/>
      <c r="J578" s="3"/>
      <c r="K578" s="3"/>
      <c r="L578" s="3"/>
      <c r="M578" s="3"/>
      <c r="N578" s="3"/>
      <c r="O578" s="3"/>
      <c r="S578" s="3"/>
      <c r="T578" s="3"/>
    </row>
    <row r="579" spans="6:20" ht="13" x14ac:dyDescent="0.15">
      <c r="F579" s="3"/>
      <c r="G579" s="3"/>
      <c r="H579" s="3"/>
      <c r="I579" s="3"/>
      <c r="J579" s="3"/>
      <c r="K579" s="3"/>
      <c r="L579" s="3"/>
      <c r="M579" s="3"/>
      <c r="N579" s="3"/>
      <c r="O579" s="3"/>
      <c r="S579" s="3"/>
      <c r="T579" s="3"/>
    </row>
    <row r="580" spans="6:20" ht="13" x14ac:dyDescent="0.15">
      <c r="F580" s="3"/>
      <c r="G580" s="3"/>
      <c r="H580" s="3"/>
      <c r="I580" s="3"/>
      <c r="J580" s="3"/>
      <c r="K580" s="3"/>
      <c r="L580" s="3"/>
      <c r="M580" s="3"/>
      <c r="N580" s="3"/>
      <c r="O580" s="3"/>
      <c r="S580" s="3"/>
      <c r="T580" s="3"/>
    </row>
    <row r="581" spans="6:20" ht="13" x14ac:dyDescent="0.15">
      <c r="F581" s="3"/>
      <c r="G581" s="3"/>
      <c r="H581" s="3"/>
      <c r="I581" s="3"/>
      <c r="J581" s="3"/>
      <c r="K581" s="3"/>
      <c r="L581" s="3"/>
      <c r="M581" s="3"/>
      <c r="N581" s="3"/>
      <c r="O581" s="3"/>
      <c r="S581" s="3"/>
      <c r="T581" s="3"/>
    </row>
    <row r="582" spans="6:20" ht="13" x14ac:dyDescent="0.15">
      <c r="F582" s="3"/>
      <c r="G582" s="3"/>
      <c r="H582" s="3"/>
      <c r="I582" s="3"/>
      <c r="J582" s="3"/>
      <c r="K582" s="3"/>
      <c r="L582" s="3"/>
      <c r="M582" s="3"/>
      <c r="N582" s="3"/>
      <c r="O582" s="3"/>
      <c r="S582" s="3"/>
      <c r="T582" s="3"/>
    </row>
    <row r="583" spans="6:20" ht="13" x14ac:dyDescent="0.15">
      <c r="F583" s="3"/>
      <c r="G583" s="3"/>
      <c r="H583" s="3"/>
      <c r="I583" s="3"/>
      <c r="J583" s="3"/>
      <c r="K583" s="3"/>
      <c r="L583" s="3"/>
      <c r="M583" s="3"/>
      <c r="N583" s="3"/>
      <c r="O583" s="3"/>
      <c r="S583" s="3"/>
      <c r="T583" s="3"/>
    </row>
    <row r="584" spans="6:20" ht="13" x14ac:dyDescent="0.15">
      <c r="F584" s="3"/>
      <c r="G584" s="3"/>
      <c r="H584" s="3"/>
      <c r="I584" s="3"/>
      <c r="J584" s="3"/>
      <c r="K584" s="3"/>
      <c r="L584" s="3"/>
      <c r="M584" s="3"/>
      <c r="N584" s="3"/>
      <c r="O584" s="3"/>
      <c r="S584" s="3"/>
      <c r="T584" s="3"/>
    </row>
    <row r="585" spans="6:20" ht="13" x14ac:dyDescent="0.15">
      <c r="F585" s="3"/>
      <c r="G585" s="3"/>
      <c r="H585" s="3"/>
      <c r="I585" s="3"/>
      <c r="J585" s="3"/>
      <c r="K585" s="3"/>
      <c r="L585" s="3"/>
      <c r="M585" s="3"/>
      <c r="N585" s="3"/>
      <c r="O585" s="3"/>
      <c r="S585" s="3"/>
      <c r="T585" s="3"/>
    </row>
    <row r="586" spans="6:20" ht="13" x14ac:dyDescent="0.15">
      <c r="F586" s="3"/>
      <c r="G586" s="3"/>
      <c r="H586" s="3"/>
      <c r="I586" s="3"/>
      <c r="J586" s="3"/>
      <c r="K586" s="3"/>
      <c r="L586" s="3"/>
      <c r="M586" s="3"/>
      <c r="N586" s="3"/>
      <c r="O586" s="3"/>
      <c r="S586" s="3"/>
      <c r="T586" s="3"/>
    </row>
    <row r="587" spans="6:20" ht="13" x14ac:dyDescent="0.15">
      <c r="F587" s="3"/>
      <c r="G587" s="3"/>
      <c r="H587" s="3"/>
      <c r="I587" s="3"/>
      <c r="J587" s="3"/>
      <c r="K587" s="3"/>
      <c r="L587" s="3"/>
      <c r="M587" s="3"/>
      <c r="N587" s="3"/>
      <c r="O587" s="3"/>
      <c r="S587" s="3"/>
      <c r="T587" s="3"/>
    </row>
    <row r="588" spans="6:20" ht="13" x14ac:dyDescent="0.15">
      <c r="F588" s="3"/>
      <c r="G588" s="3"/>
      <c r="H588" s="3"/>
      <c r="I588" s="3"/>
      <c r="J588" s="3"/>
      <c r="K588" s="3"/>
      <c r="L588" s="3"/>
      <c r="M588" s="3"/>
      <c r="N588" s="3"/>
      <c r="O588" s="3"/>
      <c r="S588" s="3"/>
      <c r="T588" s="3"/>
    </row>
    <row r="589" spans="6:20" ht="13" x14ac:dyDescent="0.15">
      <c r="F589" s="3"/>
      <c r="G589" s="3"/>
      <c r="H589" s="3"/>
      <c r="I589" s="3"/>
      <c r="J589" s="3"/>
      <c r="K589" s="3"/>
      <c r="L589" s="3"/>
      <c r="M589" s="3"/>
      <c r="N589" s="3"/>
      <c r="O589" s="3"/>
      <c r="S589" s="3"/>
      <c r="T589" s="3"/>
    </row>
    <row r="590" spans="6:20" ht="13" x14ac:dyDescent="0.15">
      <c r="F590" s="3"/>
      <c r="G590" s="3"/>
      <c r="H590" s="3"/>
      <c r="I590" s="3"/>
      <c r="J590" s="3"/>
      <c r="K590" s="3"/>
      <c r="L590" s="3"/>
      <c r="M590" s="3"/>
      <c r="N590" s="3"/>
      <c r="O590" s="3"/>
      <c r="S590" s="3"/>
      <c r="T590" s="3"/>
    </row>
    <row r="591" spans="6:20" ht="13" x14ac:dyDescent="0.15">
      <c r="F591" s="3"/>
      <c r="G591" s="3"/>
      <c r="H591" s="3"/>
      <c r="I591" s="3"/>
      <c r="J591" s="3"/>
      <c r="K591" s="3"/>
      <c r="L591" s="3"/>
      <c r="M591" s="3"/>
      <c r="N591" s="3"/>
      <c r="O591" s="3"/>
      <c r="S591" s="3"/>
      <c r="T591" s="3"/>
    </row>
    <row r="592" spans="6:20" ht="13" x14ac:dyDescent="0.15">
      <c r="F592" s="3"/>
      <c r="G592" s="3"/>
      <c r="H592" s="3"/>
      <c r="I592" s="3"/>
      <c r="J592" s="3"/>
      <c r="K592" s="3"/>
      <c r="L592" s="3"/>
      <c r="M592" s="3"/>
      <c r="N592" s="3"/>
      <c r="O592" s="3"/>
      <c r="S592" s="3"/>
      <c r="T592" s="3"/>
    </row>
    <row r="593" spans="6:20" ht="13" x14ac:dyDescent="0.15">
      <c r="F593" s="3"/>
      <c r="G593" s="3"/>
      <c r="H593" s="3"/>
      <c r="I593" s="3"/>
      <c r="J593" s="3"/>
      <c r="K593" s="3"/>
      <c r="L593" s="3"/>
      <c r="M593" s="3"/>
      <c r="N593" s="3"/>
      <c r="O593" s="3"/>
      <c r="S593" s="3"/>
      <c r="T593" s="3"/>
    </row>
    <row r="594" spans="6:20" ht="13" x14ac:dyDescent="0.15">
      <c r="F594" s="3"/>
      <c r="G594" s="3"/>
      <c r="H594" s="3"/>
      <c r="I594" s="3"/>
      <c r="J594" s="3"/>
      <c r="K594" s="3"/>
      <c r="L594" s="3"/>
      <c r="M594" s="3"/>
      <c r="N594" s="3"/>
      <c r="O594" s="3"/>
      <c r="S594" s="3"/>
      <c r="T594" s="3"/>
    </row>
    <row r="595" spans="6:20" ht="13" x14ac:dyDescent="0.15">
      <c r="F595" s="3"/>
      <c r="G595" s="3"/>
      <c r="H595" s="3"/>
      <c r="I595" s="3"/>
      <c r="J595" s="3"/>
      <c r="K595" s="3"/>
      <c r="L595" s="3"/>
      <c r="M595" s="3"/>
      <c r="N595" s="3"/>
      <c r="O595" s="3"/>
      <c r="S595" s="3"/>
      <c r="T595" s="3"/>
    </row>
    <row r="596" spans="6:20" ht="13" x14ac:dyDescent="0.15">
      <c r="F596" s="3"/>
      <c r="G596" s="3"/>
      <c r="H596" s="3"/>
      <c r="I596" s="3"/>
      <c r="J596" s="3"/>
      <c r="K596" s="3"/>
      <c r="L596" s="3"/>
      <c r="M596" s="3"/>
      <c r="N596" s="3"/>
      <c r="O596" s="3"/>
      <c r="S596" s="3"/>
      <c r="T596" s="3"/>
    </row>
    <row r="597" spans="6:20" ht="13" x14ac:dyDescent="0.15">
      <c r="F597" s="3"/>
      <c r="G597" s="3"/>
      <c r="H597" s="3"/>
      <c r="I597" s="3"/>
      <c r="J597" s="3"/>
      <c r="K597" s="3"/>
      <c r="L597" s="3"/>
      <c r="M597" s="3"/>
      <c r="N597" s="3"/>
      <c r="O597" s="3"/>
      <c r="S597" s="3"/>
      <c r="T597" s="3"/>
    </row>
    <row r="598" spans="6:20" ht="13" x14ac:dyDescent="0.15">
      <c r="F598" s="3"/>
      <c r="G598" s="3"/>
      <c r="H598" s="3"/>
      <c r="I598" s="3"/>
      <c r="J598" s="3"/>
      <c r="K598" s="3"/>
      <c r="L598" s="3"/>
      <c r="M598" s="3"/>
      <c r="N598" s="3"/>
      <c r="O598" s="3"/>
      <c r="S598" s="3"/>
      <c r="T598" s="3"/>
    </row>
    <row r="599" spans="6:20" ht="13" x14ac:dyDescent="0.15">
      <c r="F599" s="3"/>
      <c r="G599" s="3"/>
      <c r="H599" s="3"/>
      <c r="I599" s="3"/>
      <c r="J599" s="3"/>
      <c r="K599" s="3"/>
      <c r="L599" s="3"/>
      <c r="M599" s="3"/>
      <c r="N599" s="3"/>
      <c r="O599" s="3"/>
      <c r="S599" s="3"/>
      <c r="T599" s="3"/>
    </row>
    <row r="600" spans="6:20" ht="13" x14ac:dyDescent="0.15">
      <c r="F600" s="3"/>
      <c r="G600" s="3"/>
      <c r="H600" s="3"/>
      <c r="I600" s="3"/>
      <c r="J600" s="3"/>
      <c r="K600" s="3"/>
      <c r="L600" s="3"/>
      <c r="M600" s="3"/>
      <c r="N600" s="3"/>
      <c r="O600" s="3"/>
      <c r="S600" s="3"/>
      <c r="T600" s="3"/>
    </row>
    <row r="601" spans="6:20" ht="13" x14ac:dyDescent="0.15">
      <c r="F601" s="3"/>
      <c r="G601" s="3"/>
      <c r="H601" s="3"/>
      <c r="I601" s="3"/>
      <c r="J601" s="3"/>
      <c r="K601" s="3"/>
      <c r="L601" s="3"/>
      <c r="M601" s="3"/>
      <c r="N601" s="3"/>
      <c r="O601" s="3"/>
      <c r="S601" s="3"/>
      <c r="T601" s="3"/>
    </row>
    <row r="602" spans="6:20" ht="13" x14ac:dyDescent="0.15">
      <c r="F602" s="3"/>
      <c r="G602" s="3"/>
      <c r="H602" s="3"/>
      <c r="I602" s="3"/>
      <c r="J602" s="3"/>
      <c r="K602" s="3"/>
      <c r="L602" s="3"/>
      <c r="M602" s="3"/>
      <c r="N602" s="3"/>
      <c r="O602" s="3"/>
      <c r="S602" s="3"/>
      <c r="T602" s="3"/>
    </row>
    <row r="603" spans="6:20" ht="13" x14ac:dyDescent="0.15">
      <c r="F603" s="3"/>
      <c r="G603" s="3"/>
      <c r="H603" s="3"/>
      <c r="I603" s="3"/>
      <c r="J603" s="3"/>
      <c r="K603" s="3"/>
      <c r="L603" s="3"/>
      <c r="M603" s="3"/>
      <c r="N603" s="3"/>
      <c r="O603" s="3"/>
      <c r="S603" s="3"/>
      <c r="T603" s="3"/>
    </row>
    <row r="604" spans="6:20" ht="13" x14ac:dyDescent="0.15">
      <c r="F604" s="3"/>
      <c r="G604" s="3"/>
      <c r="H604" s="3"/>
      <c r="I604" s="3"/>
      <c r="J604" s="3"/>
      <c r="K604" s="3"/>
      <c r="L604" s="3"/>
      <c r="M604" s="3"/>
      <c r="N604" s="3"/>
      <c r="O604" s="3"/>
      <c r="S604" s="3"/>
      <c r="T604" s="3"/>
    </row>
    <row r="605" spans="6:20" ht="13" x14ac:dyDescent="0.15">
      <c r="F605" s="3"/>
      <c r="G605" s="3"/>
      <c r="H605" s="3"/>
      <c r="I605" s="3"/>
      <c r="J605" s="3"/>
      <c r="K605" s="3"/>
      <c r="L605" s="3"/>
      <c r="M605" s="3"/>
      <c r="N605" s="3"/>
      <c r="O605" s="3"/>
      <c r="S605" s="3"/>
      <c r="T605" s="3"/>
    </row>
    <row r="606" spans="6:20" ht="13" x14ac:dyDescent="0.15">
      <c r="F606" s="3"/>
      <c r="G606" s="3"/>
      <c r="H606" s="3"/>
      <c r="I606" s="3"/>
      <c r="J606" s="3"/>
      <c r="K606" s="3"/>
      <c r="L606" s="3"/>
      <c r="M606" s="3"/>
      <c r="N606" s="3"/>
      <c r="O606" s="3"/>
      <c r="S606" s="3"/>
      <c r="T606" s="3"/>
    </row>
    <row r="607" spans="6:20" ht="13" x14ac:dyDescent="0.15">
      <c r="F607" s="3"/>
      <c r="G607" s="3"/>
      <c r="H607" s="3"/>
      <c r="I607" s="3"/>
      <c r="J607" s="3"/>
      <c r="K607" s="3"/>
      <c r="L607" s="3"/>
      <c r="M607" s="3"/>
      <c r="N607" s="3"/>
      <c r="O607" s="3"/>
      <c r="S607" s="3"/>
      <c r="T607" s="3"/>
    </row>
    <row r="608" spans="6:20" ht="13" x14ac:dyDescent="0.15">
      <c r="F608" s="3"/>
      <c r="G608" s="3"/>
      <c r="H608" s="3"/>
      <c r="I608" s="3"/>
      <c r="J608" s="3"/>
      <c r="K608" s="3"/>
      <c r="L608" s="3"/>
      <c r="M608" s="3"/>
      <c r="N608" s="3"/>
      <c r="O608" s="3"/>
      <c r="S608" s="3"/>
      <c r="T608" s="3"/>
    </row>
    <row r="609" spans="6:20" ht="13" x14ac:dyDescent="0.15">
      <c r="F609" s="3"/>
      <c r="G609" s="3"/>
      <c r="H609" s="3"/>
      <c r="I609" s="3"/>
      <c r="J609" s="3"/>
      <c r="K609" s="3"/>
      <c r="L609" s="3"/>
      <c r="M609" s="3"/>
      <c r="N609" s="3"/>
      <c r="O609" s="3"/>
      <c r="S609" s="3"/>
      <c r="T609" s="3"/>
    </row>
    <row r="610" spans="6:20" ht="13" x14ac:dyDescent="0.15">
      <c r="F610" s="3"/>
      <c r="G610" s="3"/>
      <c r="H610" s="3"/>
      <c r="I610" s="3"/>
      <c r="J610" s="3"/>
      <c r="K610" s="3"/>
      <c r="L610" s="3"/>
      <c r="M610" s="3"/>
      <c r="N610" s="3"/>
      <c r="O610" s="3"/>
      <c r="S610" s="3"/>
      <c r="T610" s="3"/>
    </row>
    <row r="611" spans="6:20" ht="13" x14ac:dyDescent="0.15">
      <c r="F611" s="3"/>
      <c r="G611" s="3"/>
      <c r="H611" s="3"/>
      <c r="I611" s="3"/>
      <c r="J611" s="3"/>
      <c r="K611" s="3"/>
      <c r="L611" s="3"/>
      <c r="M611" s="3"/>
      <c r="N611" s="3"/>
      <c r="O611" s="3"/>
      <c r="S611" s="3"/>
      <c r="T611" s="3"/>
    </row>
    <row r="612" spans="6:20" ht="13" x14ac:dyDescent="0.15">
      <c r="F612" s="3"/>
      <c r="G612" s="3"/>
      <c r="H612" s="3"/>
      <c r="I612" s="3"/>
      <c r="J612" s="3"/>
      <c r="K612" s="3"/>
      <c r="L612" s="3"/>
      <c r="M612" s="3"/>
      <c r="N612" s="3"/>
      <c r="O612" s="3"/>
      <c r="S612" s="3"/>
      <c r="T612" s="3"/>
    </row>
    <row r="613" spans="6:20" ht="13" x14ac:dyDescent="0.15">
      <c r="F613" s="3"/>
      <c r="G613" s="3"/>
      <c r="H613" s="3"/>
      <c r="I613" s="3"/>
      <c r="J613" s="3"/>
      <c r="K613" s="3"/>
      <c r="L613" s="3"/>
      <c r="M613" s="3"/>
      <c r="N613" s="3"/>
      <c r="O613" s="3"/>
      <c r="S613" s="3"/>
      <c r="T613" s="3"/>
    </row>
    <row r="614" spans="6:20" ht="13" x14ac:dyDescent="0.15">
      <c r="F614" s="3"/>
      <c r="G614" s="3"/>
      <c r="H614" s="3"/>
      <c r="I614" s="3"/>
      <c r="J614" s="3"/>
      <c r="K614" s="3"/>
      <c r="L614" s="3"/>
      <c r="M614" s="3"/>
      <c r="N614" s="3"/>
      <c r="O614" s="3"/>
      <c r="S614" s="3"/>
      <c r="T614" s="3"/>
    </row>
    <row r="615" spans="6:20" ht="13" x14ac:dyDescent="0.15">
      <c r="F615" s="3"/>
      <c r="G615" s="3"/>
      <c r="H615" s="3"/>
      <c r="I615" s="3"/>
      <c r="J615" s="3"/>
      <c r="K615" s="3"/>
      <c r="L615" s="3"/>
      <c r="M615" s="3"/>
      <c r="N615" s="3"/>
      <c r="O615" s="3"/>
      <c r="S615" s="3"/>
      <c r="T615" s="3"/>
    </row>
    <row r="616" spans="6:20" ht="13" x14ac:dyDescent="0.15">
      <c r="F616" s="3"/>
      <c r="G616" s="3"/>
      <c r="H616" s="3"/>
      <c r="I616" s="3"/>
      <c r="J616" s="3"/>
      <c r="K616" s="3"/>
      <c r="L616" s="3"/>
      <c r="M616" s="3"/>
      <c r="N616" s="3"/>
      <c r="O616" s="3"/>
      <c r="S616" s="3"/>
      <c r="T616" s="3"/>
    </row>
    <row r="617" spans="6:20" ht="13" x14ac:dyDescent="0.15">
      <c r="F617" s="3"/>
      <c r="G617" s="3"/>
      <c r="H617" s="3"/>
      <c r="I617" s="3"/>
      <c r="J617" s="3"/>
      <c r="K617" s="3"/>
      <c r="L617" s="3"/>
      <c r="M617" s="3"/>
      <c r="N617" s="3"/>
      <c r="O617" s="3"/>
      <c r="S617" s="3"/>
      <c r="T617" s="3"/>
    </row>
    <row r="618" spans="6:20" ht="13" x14ac:dyDescent="0.15">
      <c r="F618" s="3"/>
      <c r="G618" s="3"/>
      <c r="H618" s="3"/>
      <c r="I618" s="3"/>
      <c r="J618" s="3"/>
      <c r="K618" s="3"/>
      <c r="L618" s="3"/>
      <c r="M618" s="3"/>
      <c r="N618" s="3"/>
      <c r="O618" s="3"/>
      <c r="S618" s="3"/>
      <c r="T618" s="3"/>
    </row>
    <row r="619" spans="6:20" ht="13" x14ac:dyDescent="0.15">
      <c r="F619" s="3"/>
      <c r="G619" s="3"/>
      <c r="H619" s="3"/>
      <c r="I619" s="3"/>
      <c r="J619" s="3"/>
      <c r="K619" s="3"/>
      <c r="L619" s="3"/>
      <c r="M619" s="3"/>
      <c r="N619" s="3"/>
      <c r="O619" s="3"/>
      <c r="S619" s="3"/>
      <c r="T619" s="3"/>
    </row>
    <row r="620" spans="6:20" ht="13" x14ac:dyDescent="0.15">
      <c r="F620" s="3"/>
      <c r="G620" s="3"/>
      <c r="H620" s="3"/>
      <c r="I620" s="3"/>
      <c r="J620" s="3"/>
      <c r="K620" s="3"/>
      <c r="L620" s="3"/>
      <c r="M620" s="3"/>
      <c r="N620" s="3"/>
      <c r="O620" s="3"/>
      <c r="S620" s="3"/>
      <c r="T620" s="3"/>
    </row>
    <row r="621" spans="6:20" ht="13" x14ac:dyDescent="0.15">
      <c r="F621" s="3"/>
      <c r="G621" s="3"/>
      <c r="H621" s="3"/>
      <c r="I621" s="3"/>
      <c r="J621" s="3"/>
      <c r="K621" s="3"/>
      <c r="L621" s="3"/>
      <c r="M621" s="3"/>
      <c r="N621" s="3"/>
      <c r="O621" s="3"/>
      <c r="S621" s="3"/>
      <c r="T621" s="3"/>
    </row>
    <row r="622" spans="6:20" ht="13" x14ac:dyDescent="0.15">
      <c r="F622" s="3"/>
      <c r="G622" s="3"/>
      <c r="H622" s="3"/>
      <c r="I622" s="3"/>
      <c r="J622" s="3"/>
      <c r="K622" s="3"/>
      <c r="L622" s="3"/>
      <c r="M622" s="3"/>
      <c r="N622" s="3"/>
      <c r="O622" s="3"/>
      <c r="S622" s="3"/>
      <c r="T622" s="3"/>
    </row>
    <row r="623" spans="6:20" ht="13" x14ac:dyDescent="0.15">
      <c r="F623" s="3"/>
      <c r="G623" s="3"/>
      <c r="H623" s="3"/>
      <c r="I623" s="3"/>
      <c r="J623" s="3"/>
      <c r="K623" s="3"/>
      <c r="L623" s="3"/>
      <c r="M623" s="3"/>
      <c r="N623" s="3"/>
      <c r="O623" s="3"/>
      <c r="S623" s="3"/>
      <c r="T623" s="3"/>
    </row>
    <row r="624" spans="6:20" ht="13" x14ac:dyDescent="0.15">
      <c r="F624" s="3"/>
      <c r="G624" s="3"/>
      <c r="H624" s="3"/>
      <c r="I624" s="3"/>
      <c r="J624" s="3"/>
      <c r="K624" s="3"/>
      <c r="L624" s="3"/>
      <c r="M624" s="3"/>
      <c r="N624" s="3"/>
      <c r="O624" s="3"/>
      <c r="S624" s="3"/>
      <c r="T624" s="3"/>
    </row>
    <row r="625" spans="6:20" ht="13" x14ac:dyDescent="0.15">
      <c r="F625" s="3"/>
      <c r="G625" s="3"/>
      <c r="H625" s="3"/>
      <c r="I625" s="3"/>
      <c r="J625" s="3"/>
      <c r="K625" s="3"/>
      <c r="L625" s="3"/>
      <c r="M625" s="3"/>
      <c r="N625" s="3"/>
      <c r="O625" s="3"/>
      <c r="S625" s="3"/>
      <c r="T625" s="3"/>
    </row>
    <row r="626" spans="6:20" ht="13" x14ac:dyDescent="0.15">
      <c r="F626" s="3"/>
      <c r="G626" s="3"/>
      <c r="H626" s="3"/>
      <c r="I626" s="3"/>
      <c r="J626" s="3"/>
      <c r="K626" s="3"/>
      <c r="L626" s="3"/>
      <c r="M626" s="3"/>
      <c r="N626" s="3"/>
      <c r="O626" s="3"/>
      <c r="S626" s="3"/>
      <c r="T626" s="3"/>
    </row>
    <row r="627" spans="6:20" ht="13" x14ac:dyDescent="0.15">
      <c r="F627" s="3"/>
      <c r="G627" s="3"/>
      <c r="H627" s="3"/>
      <c r="I627" s="3"/>
      <c r="J627" s="3"/>
      <c r="K627" s="3"/>
      <c r="L627" s="3"/>
      <c r="M627" s="3"/>
      <c r="N627" s="3"/>
      <c r="O627" s="3"/>
      <c r="S627" s="3"/>
      <c r="T627" s="3"/>
    </row>
    <row r="628" spans="6:20" ht="13" x14ac:dyDescent="0.15">
      <c r="F628" s="3"/>
      <c r="G628" s="3"/>
      <c r="H628" s="3"/>
      <c r="I628" s="3"/>
      <c r="J628" s="3"/>
      <c r="K628" s="3"/>
      <c r="L628" s="3"/>
      <c r="M628" s="3"/>
      <c r="N628" s="3"/>
      <c r="O628" s="3"/>
      <c r="S628" s="3"/>
      <c r="T628" s="3"/>
    </row>
    <row r="629" spans="6:20" ht="13" x14ac:dyDescent="0.15">
      <c r="F629" s="3"/>
      <c r="G629" s="3"/>
      <c r="H629" s="3"/>
      <c r="I629" s="3"/>
      <c r="J629" s="3"/>
      <c r="K629" s="3"/>
      <c r="L629" s="3"/>
      <c r="M629" s="3"/>
      <c r="N629" s="3"/>
      <c r="O629" s="3"/>
      <c r="S629" s="3"/>
      <c r="T629" s="3"/>
    </row>
    <row r="630" spans="6:20" ht="13" x14ac:dyDescent="0.15">
      <c r="F630" s="3"/>
      <c r="G630" s="3"/>
      <c r="H630" s="3"/>
      <c r="I630" s="3"/>
      <c r="J630" s="3"/>
      <c r="K630" s="3"/>
      <c r="L630" s="3"/>
      <c r="M630" s="3"/>
      <c r="N630" s="3"/>
      <c r="O630" s="3"/>
      <c r="S630" s="3"/>
      <c r="T630" s="3"/>
    </row>
    <row r="631" spans="6:20" ht="13" x14ac:dyDescent="0.15">
      <c r="F631" s="3"/>
      <c r="G631" s="3"/>
      <c r="H631" s="3"/>
      <c r="I631" s="3"/>
      <c r="J631" s="3"/>
      <c r="K631" s="3"/>
      <c r="L631" s="3"/>
      <c r="M631" s="3"/>
      <c r="N631" s="3"/>
      <c r="O631" s="3"/>
      <c r="S631" s="3"/>
      <c r="T631" s="3"/>
    </row>
    <row r="632" spans="6:20" ht="13" x14ac:dyDescent="0.15">
      <c r="F632" s="3"/>
      <c r="G632" s="3"/>
      <c r="H632" s="3"/>
      <c r="I632" s="3"/>
      <c r="J632" s="3"/>
      <c r="K632" s="3"/>
      <c r="L632" s="3"/>
      <c r="M632" s="3"/>
      <c r="N632" s="3"/>
      <c r="O632" s="3"/>
      <c r="S632" s="3"/>
      <c r="T632" s="3"/>
    </row>
    <row r="633" spans="6:20" ht="13" x14ac:dyDescent="0.15">
      <c r="F633" s="3"/>
      <c r="G633" s="3"/>
      <c r="H633" s="3"/>
      <c r="I633" s="3"/>
      <c r="J633" s="3"/>
      <c r="K633" s="3"/>
      <c r="L633" s="3"/>
      <c r="M633" s="3"/>
      <c r="N633" s="3"/>
      <c r="O633" s="3"/>
      <c r="S633" s="3"/>
      <c r="T633" s="3"/>
    </row>
    <row r="634" spans="6:20" ht="13" x14ac:dyDescent="0.15">
      <c r="F634" s="3"/>
      <c r="G634" s="3"/>
      <c r="H634" s="3"/>
      <c r="I634" s="3"/>
      <c r="J634" s="3"/>
      <c r="K634" s="3"/>
      <c r="L634" s="3"/>
      <c r="M634" s="3"/>
      <c r="N634" s="3"/>
      <c r="O634" s="3"/>
      <c r="S634" s="3"/>
      <c r="T634" s="3"/>
    </row>
    <row r="635" spans="6:20" ht="13" x14ac:dyDescent="0.15">
      <c r="F635" s="3"/>
      <c r="G635" s="3"/>
      <c r="H635" s="3"/>
      <c r="I635" s="3"/>
      <c r="J635" s="3"/>
      <c r="K635" s="3"/>
      <c r="L635" s="3"/>
      <c r="M635" s="3"/>
      <c r="N635" s="3"/>
      <c r="O635" s="3"/>
      <c r="S635" s="3"/>
      <c r="T635" s="3"/>
    </row>
    <row r="636" spans="6:20" ht="13" x14ac:dyDescent="0.15">
      <c r="F636" s="3"/>
      <c r="G636" s="3"/>
      <c r="H636" s="3"/>
      <c r="I636" s="3"/>
      <c r="J636" s="3"/>
      <c r="K636" s="3"/>
      <c r="L636" s="3"/>
      <c r="M636" s="3"/>
      <c r="N636" s="3"/>
      <c r="O636" s="3"/>
      <c r="S636" s="3"/>
      <c r="T636" s="3"/>
    </row>
    <row r="637" spans="6:20" ht="13" x14ac:dyDescent="0.15">
      <c r="F637" s="3"/>
      <c r="G637" s="3"/>
      <c r="H637" s="3"/>
      <c r="I637" s="3"/>
      <c r="J637" s="3"/>
      <c r="K637" s="3"/>
      <c r="L637" s="3"/>
      <c r="M637" s="3"/>
      <c r="N637" s="3"/>
      <c r="O637" s="3"/>
      <c r="S637" s="3"/>
      <c r="T637" s="3"/>
    </row>
    <row r="638" spans="6:20" ht="13" x14ac:dyDescent="0.15">
      <c r="F638" s="3"/>
      <c r="G638" s="3"/>
      <c r="H638" s="3"/>
      <c r="I638" s="3"/>
      <c r="J638" s="3"/>
      <c r="K638" s="3"/>
      <c r="L638" s="3"/>
      <c r="M638" s="3"/>
      <c r="N638" s="3"/>
      <c r="O638" s="3"/>
      <c r="S638" s="3"/>
      <c r="T638" s="3"/>
    </row>
    <row r="639" spans="6:20" ht="13" x14ac:dyDescent="0.15">
      <c r="F639" s="3"/>
      <c r="G639" s="3"/>
      <c r="H639" s="3"/>
      <c r="I639" s="3"/>
      <c r="J639" s="3"/>
      <c r="K639" s="3"/>
      <c r="L639" s="3"/>
      <c r="M639" s="3"/>
      <c r="N639" s="3"/>
      <c r="O639" s="3"/>
      <c r="S639" s="3"/>
      <c r="T639" s="3"/>
    </row>
    <row r="640" spans="6:20" ht="13" x14ac:dyDescent="0.15">
      <c r="F640" s="3"/>
      <c r="G640" s="3"/>
      <c r="H640" s="3"/>
      <c r="I640" s="3"/>
      <c r="J640" s="3"/>
      <c r="K640" s="3"/>
      <c r="L640" s="3"/>
      <c r="M640" s="3"/>
      <c r="N640" s="3"/>
      <c r="O640" s="3"/>
      <c r="S640" s="3"/>
      <c r="T640" s="3"/>
    </row>
    <row r="641" spans="6:20" ht="13" x14ac:dyDescent="0.15">
      <c r="F641" s="3"/>
      <c r="G641" s="3"/>
      <c r="H641" s="3"/>
      <c r="I641" s="3"/>
      <c r="J641" s="3"/>
      <c r="K641" s="3"/>
      <c r="L641" s="3"/>
      <c r="M641" s="3"/>
      <c r="N641" s="3"/>
      <c r="O641" s="3"/>
      <c r="S641" s="3"/>
      <c r="T641" s="3"/>
    </row>
    <row r="642" spans="6:20" ht="13" x14ac:dyDescent="0.15">
      <c r="F642" s="3"/>
      <c r="G642" s="3"/>
      <c r="H642" s="3"/>
      <c r="I642" s="3"/>
      <c r="J642" s="3"/>
      <c r="K642" s="3"/>
      <c r="L642" s="3"/>
      <c r="M642" s="3"/>
      <c r="N642" s="3"/>
      <c r="O642" s="3"/>
      <c r="S642" s="3"/>
      <c r="T642" s="3"/>
    </row>
    <row r="643" spans="6:20" ht="13" x14ac:dyDescent="0.15">
      <c r="F643" s="3"/>
      <c r="G643" s="3"/>
      <c r="H643" s="3"/>
      <c r="I643" s="3"/>
      <c r="J643" s="3"/>
      <c r="K643" s="3"/>
      <c r="L643" s="3"/>
      <c r="M643" s="3"/>
      <c r="N643" s="3"/>
      <c r="O643" s="3"/>
      <c r="S643" s="3"/>
      <c r="T643" s="3"/>
    </row>
    <row r="644" spans="6:20" ht="13" x14ac:dyDescent="0.15">
      <c r="F644" s="3"/>
      <c r="G644" s="3"/>
      <c r="H644" s="3"/>
      <c r="I644" s="3"/>
      <c r="J644" s="3"/>
      <c r="K644" s="3"/>
      <c r="L644" s="3"/>
      <c r="M644" s="3"/>
      <c r="N644" s="3"/>
      <c r="O644" s="3"/>
      <c r="S644" s="3"/>
      <c r="T644" s="3"/>
    </row>
    <row r="645" spans="6:20" ht="13" x14ac:dyDescent="0.15">
      <c r="F645" s="3"/>
      <c r="G645" s="3"/>
      <c r="H645" s="3"/>
      <c r="I645" s="3"/>
      <c r="J645" s="3"/>
      <c r="K645" s="3"/>
      <c r="L645" s="3"/>
      <c r="M645" s="3"/>
      <c r="N645" s="3"/>
      <c r="O645" s="3"/>
      <c r="S645" s="3"/>
      <c r="T645" s="3"/>
    </row>
    <row r="646" spans="6:20" ht="13" x14ac:dyDescent="0.15">
      <c r="F646" s="3"/>
      <c r="G646" s="3"/>
      <c r="H646" s="3"/>
      <c r="I646" s="3"/>
      <c r="J646" s="3"/>
      <c r="K646" s="3"/>
      <c r="L646" s="3"/>
      <c r="M646" s="3"/>
      <c r="N646" s="3"/>
      <c r="O646" s="3"/>
      <c r="S646" s="3"/>
      <c r="T646" s="3"/>
    </row>
    <row r="647" spans="6:20" ht="13" x14ac:dyDescent="0.15">
      <c r="F647" s="3"/>
      <c r="G647" s="3"/>
      <c r="H647" s="3"/>
      <c r="I647" s="3"/>
      <c r="J647" s="3"/>
      <c r="K647" s="3"/>
      <c r="L647" s="3"/>
      <c r="M647" s="3"/>
      <c r="N647" s="3"/>
      <c r="O647" s="3"/>
      <c r="S647" s="3"/>
      <c r="T647" s="3"/>
    </row>
    <row r="648" spans="6:20" ht="13" x14ac:dyDescent="0.15">
      <c r="F648" s="3"/>
      <c r="G648" s="3"/>
      <c r="H648" s="3"/>
      <c r="I648" s="3"/>
      <c r="J648" s="3"/>
      <c r="K648" s="3"/>
      <c r="L648" s="3"/>
      <c r="M648" s="3"/>
      <c r="N648" s="3"/>
      <c r="O648" s="3"/>
      <c r="S648" s="3"/>
      <c r="T648" s="3"/>
    </row>
    <row r="649" spans="6:20" ht="13" x14ac:dyDescent="0.15">
      <c r="F649" s="3"/>
      <c r="G649" s="3"/>
      <c r="H649" s="3"/>
      <c r="I649" s="3"/>
      <c r="J649" s="3"/>
      <c r="K649" s="3"/>
      <c r="L649" s="3"/>
      <c r="M649" s="3"/>
      <c r="N649" s="3"/>
      <c r="O649" s="3"/>
      <c r="S649" s="3"/>
      <c r="T649" s="3"/>
    </row>
    <row r="650" spans="6:20" ht="13" x14ac:dyDescent="0.15">
      <c r="F650" s="3"/>
      <c r="G650" s="3"/>
      <c r="H650" s="3"/>
      <c r="I650" s="3"/>
      <c r="J650" s="3"/>
      <c r="K650" s="3"/>
      <c r="L650" s="3"/>
      <c r="M650" s="3"/>
      <c r="N650" s="3"/>
      <c r="O650" s="3"/>
      <c r="S650" s="3"/>
      <c r="T650" s="3"/>
    </row>
    <row r="651" spans="6:20" ht="13" x14ac:dyDescent="0.15">
      <c r="F651" s="3"/>
      <c r="G651" s="3"/>
      <c r="H651" s="3"/>
      <c r="I651" s="3"/>
      <c r="J651" s="3"/>
      <c r="K651" s="3"/>
      <c r="L651" s="3"/>
      <c r="M651" s="3"/>
      <c r="N651" s="3"/>
      <c r="O651" s="3"/>
      <c r="S651" s="3"/>
      <c r="T651" s="3"/>
    </row>
    <row r="652" spans="6:20" ht="13" x14ac:dyDescent="0.15">
      <c r="F652" s="3"/>
      <c r="G652" s="3"/>
      <c r="H652" s="3"/>
      <c r="I652" s="3"/>
      <c r="J652" s="3"/>
      <c r="K652" s="3"/>
      <c r="L652" s="3"/>
      <c r="M652" s="3"/>
      <c r="N652" s="3"/>
      <c r="O652" s="3"/>
      <c r="S652" s="3"/>
      <c r="T652" s="3"/>
    </row>
    <row r="653" spans="6:20" ht="13" x14ac:dyDescent="0.15">
      <c r="F653" s="3"/>
      <c r="G653" s="3"/>
      <c r="H653" s="3"/>
      <c r="I653" s="3"/>
      <c r="J653" s="3"/>
      <c r="K653" s="3"/>
      <c r="L653" s="3"/>
      <c r="M653" s="3"/>
      <c r="N653" s="3"/>
      <c r="O653" s="3"/>
      <c r="S653" s="3"/>
      <c r="T653" s="3"/>
    </row>
    <row r="654" spans="6:20" ht="13" x14ac:dyDescent="0.15">
      <c r="F654" s="3"/>
      <c r="G654" s="3"/>
      <c r="H654" s="3"/>
      <c r="I654" s="3"/>
      <c r="J654" s="3"/>
      <c r="K654" s="3"/>
      <c r="L654" s="3"/>
      <c r="M654" s="3"/>
      <c r="N654" s="3"/>
      <c r="O654" s="3"/>
      <c r="S654" s="3"/>
      <c r="T654" s="3"/>
    </row>
    <row r="655" spans="6:20" ht="13" x14ac:dyDescent="0.15">
      <c r="F655" s="3"/>
      <c r="G655" s="3"/>
      <c r="H655" s="3"/>
      <c r="I655" s="3"/>
      <c r="J655" s="3"/>
      <c r="K655" s="3"/>
      <c r="L655" s="3"/>
      <c r="M655" s="3"/>
      <c r="N655" s="3"/>
      <c r="O655" s="3"/>
      <c r="S655" s="3"/>
      <c r="T655" s="3"/>
    </row>
    <row r="656" spans="6:20" ht="13" x14ac:dyDescent="0.15">
      <c r="F656" s="3"/>
      <c r="G656" s="3"/>
      <c r="H656" s="3"/>
      <c r="I656" s="3"/>
      <c r="J656" s="3"/>
      <c r="K656" s="3"/>
      <c r="L656" s="3"/>
      <c r="M656" s="3"/>
      <c r="N656" s="3"/>
      <c r="O656" s="3"/>
      <c r="S656" s="3"/>
      <c r="T656" s="3"/>
    </row>
    <row r="657" spans="6:20" ht="13" x14ac:dyDescent="0.15">
      <c r="F657" s="3"/>
      <c r="G657" s="3"/>
      <c r="H657" s="3"/>
      <c r="I657" s="3"/>
      <c r="J657" s="3"/>
      <c r="K657" s="3"/>
      <c r="L657" s="3"/>
      <c r="M657" s="3"/>
      <c r="N657" s="3"/>
      <c r="O657" s="3"/>
      <c r="S657" s="3"/>
      <c r="T657" s="3"/>
    </row>
    <row r="658" spans="6:20" ht="13" x14ac:dyDescent="0.15">
      <c r="F658" s="3"/>
      <c r="G658" s="3"/>
      <c r="H658" s="3"/>
      <c r="I658" s="3"/>
      <c r="J658" s="3"/>
      <c r="K658" s="3"/>
      <c r="L658" s="3"/>
      <c r="M658" s="3"/>
      <c r="N658" s="3"/>
      <c r="O658" s="3"/>
      <c r="S658" s="3"/>
      <c r="T658" s="3"/>
    </row>
    <row r="659" spans="6:20" ht="13" x14ac:dyDescent="0.15">
      <c r="F659" s="3"/>
      <c r="G659" s="3"/>
      <c r="H659" s="3"/>
      <c r="I659" s="3"/>
      <c r="J659" s="3"/>
      <c r="K659" s="3"/>
      <c r="L659" s="3"/>
      <c r="M659" s="3"/>
      <c r="N659" s="3"/>
      <c r="O659" s="3"/>
      <c r="S659" s="3"/>
      <c r="T659" s="3"/>
    </row>
    <row r="660" spans="6:20" ht="13" x14ac:dyDescent="0.15">
      <c r="F660" s="3"/>
      <c r="G660" s="3"/>
      <c r="H660" s="3"/>
      <c r="I660" s="3"/>
      <c r="J660" s="3"/>
      <c r="K660" s="3"/>
      <c r="L660" s="3"/>
      <c r="M660" s="3"/>
      <c r="N660" s="3"/>
      <c r="O660" s="3"/>
      <c r="S660" s="3"/>
      <c r="T660" s="3"/>
    </row>
    <row r="661" spans="6:20" ht="13" x14ac:dyDescent="0.15">
      <c r="F661" s="3"/>
      <c r="G661" s="3"/>
      <c r="H661" s="3"/>
      <c r="I661" s="3"/>
      <c r="J661" s="3"/>
      <c r="K661" s="3"/>
      <c r="L661" s="3"/>
      <c r="M661" s="3"/>
      <c r="N661" s="3"/>
      <c r="O661" s="3"/>
      <c r="S661" s="3"/>
      <c r="T661" s="3"/>
    </row>
    <row r="662" spans="6:20" ht="13" x14ac:dyDescent="0.15">
      <c r="F662" s="3"/>
      <c r="G662" s="3"/>
      <c r="H662" s="3"/>
      <c r="I662" s="3"/>
      <c r="J662" s="3"/>
      <c r="K662" s="3"/>
      <c r="L662" s="3"/>
      <c r="M662" s="3"/>
      <c r="N662" s="3"/>
      <c r="O662" s="3"/>
      <c r="S662" s="3"/>
      <c r="T662" s="3"/>
    </row>
    <row r="663" spans="6:20" ht="13" x14ac:dyDescent="0.15">
      <c r="F663" s="3"/>
      <c r="G663" s="3"/>
      <c r="H663" s="3"/>
      <c r="I663" s="3"/>
      <c r="J663" s="3"/>
      <c r="K663" s="3"/>
      <c r="L663" s="3"/>
      <c r="M663" s="3"/>
      <c r="N663" s="3"/>
      <c r="O663" s="3"/>
      <c r="S663" s="3"/>
      <c r="T663" s="3"/>
    </row>
    <row r="664" spans="6:20" ht="13" x14ac:dyDescent="0.15">
      <c r="F664" s="3"/>
      <c r="G664" s="3"/>
      <c r="H664" s="3"/>
      <c r="I664" s="3"/>
      <c r="J664" s="3"/>
      <c r="K664" s="3"/>
      <c r="L664" s="3"/>
      <c r="M664" s="3"/>
      <c r="N664" s="3"/>
      <c r="O664" s="3"/>
      <c r="S664" s="3"/>
      <c r="T664" s="3"/>
    </row>
    <row r="665" spans="6:20" ht="13" x14ac:dyDescent="0.15">
      <c r="F665" s="3"/>
      <c r="G665" s="3"/>
      <c r="H665" s="3"/>
      <c r="I665" s="3"/>
      <c r="J665" s="3"/>
      <c r="K665" s="3"/>
      <c r="L665" s="3"/>
      <c r="M665" s="3"/>
      <c r="N665" s="3"/>
      <c r="O665" s="3"/>
      <c r="S665" s="3"/>
      <c r="T665" s="3"/>
    </row>
    <row r="666" spans="6:20" ht="13" x14ac:dyDescent="0.15">
      <c r="F666" s="3"/>
      <c r="G666" s="3"/>
      <c r="H666" s="3"/>
      <c r="I666" s="3"/>
      <c r="J666" s="3"/>
      <c r="K666" s="3"/>
      <c r="L666" s="3"/>
      <c r="M666" s="3"/>
      <c r="N666" s="3"/>
      <c r="O666" s="3"/>
      <c r="S666" s="3"/>
      <c r="T666" s="3"/>
    </row>
    <row r="667" spans="6:20" ht="13" x14ac:dyDescent="0.15">
      <c r="F667" s="3"/>
      <c r="G667" s="3"/>
      <c r="H667" s="3"/>
      <c r="I667" s="3"/>
      <c r="J667" s="3"/>
      <c r="K667" s="3"/>
      <c r="L667" s="3"/>
      <c r="M667" s="3"/>
      <c r="N667" s="3"/>
      <c r="O667" s="3"/>
      <c r="S667" s="3"/>
      <c r="T667" s="3"/>
    </row>
    <row r="668" spans="6:20" ht="13" x14ac:dyDescent="0.15">
      <c r="F668" s="3"/>
      <c r="G668" s="3"/>
      <c r="H668" s="3"/>
      <c r="I668" s="3"/>
      <c r="J668" s="3"/>
      <c r="K668" s="3"/>
      <c r="L668" s="3"/>
      <c r="M668" s="3"/>
      <c r="N668" s="3"/>
      <c r="O668" s="3"/>
      <c r="S668" s="3"/>
      <c r="T668" s="3"/>
    </row>
    <row r="669" spans="6:20" ht="13" x14ac:dyDescent="0.15">
      <c r="F669" s="3"/>
      <c r="G669" s="3"/>
      <c r="H669" s="3"/>
      <c r="I669" s="3"/>
      <c r="J669" s="3"/>
      <c r="K669" s="3"/>
      <c r="L669" s="3"/>
      <c r="M669" s="3"/>
      <c r="N669" s="3"/>
      <c r="O669" s="3"/>
      <c r="S669" s="3"/>
      <c r="T669" s="3"/>
    </row>
    <row r="670" spans="6:20" ht="13" x14ac:dyDescent="0.15">
      <c r="F670" s="3"/>
      <c r="G670" s="3"/>
      <c r="H670" s="3"/>
      <c r="I670" s="3"/>
      <c r="J670" s="3"/>
      <c r="K670" s="3"/>
      <c r="L670" s="3"/>
      <c r="M670" s="3"/>
      <c r="N670" s="3"/>
      <c r="O670" s="3"/>
      <c r="S670" s="3"/>
      <c r="T670" s="3"/>
    </row>
    <row r="671" spans="6:20" ht="13" x14ac:dyDescent="0.15">
      <c r="F671" s="3"/>
      <c r="G671" s="3"/>
      <c r="H671" s="3"/>
      <c r="I671" s="3"/>
      <c r="J671" s="3"/>
      <c r="K671" s="3"/>
      <c r="L671" s="3"/>
      <c r="M671" s="3"/>
      <c r="N671" s="3"/>
      <c r="O671" s="3"/>
      <c r="S671" s="3"/>
      <c r="T671" s="3"/>
    </row>
    <row r="672" spans="6:20" ht="13" x14ac:dyDescent="0.15">
      <c r="F672" s="3"/>
      <c r="G672" s="3"/>
      <c r="H672" s="3"/>
      <c r="I672" s="3"/>
      <c r="J672" s="3"/>
      <c r="K672" s="3"/>
      <c r="L672" s="3"/>
      <c r="M672" s="3"/>
      <c r="N672" s="3"/>
      <c r="O672" s="3"/>
      <c r="S672" s="3"/>
      <c r="T672" s="3"/>
    </row>
    <row r="673" spans="6:20" ht="13" x14ac:dyDescent="0.15">
      <c r="F673" s="3"/>
      <c r="G673" s="3"/>
      <c r="H673" s="3"/>
      <c r="I673" s="3"/>
      <c r="J673" s="3"/>
      <c r="K673" s="3"/>
      <c r="L673" s="3"/>
      <c r="M673" s="3"/>
      <c r="N673" s="3"/>
      <c r="O673" s="3"/>
      <c r="S673" s="3"/>
      <c r="T673" s="3"/>
    </row>
    <row r="674" spans="6:20" ht="13" x14ac:dyDescent="0.15">
      <c r="F674" s="3"/>
      <c r="G674" s="3"/>
      <c r="H674" s="3"/>
      <c r="I674" s="3"/>
      <c r="J674" s="3"/>
      <c r="K674" s="3"/>
      <c r="L674" s="3"/>
      <c r="M674" s="3"/>
      <c r="N674" s="3"/>
      <c r="O674" s="3"/>
      <c r="S674" s="3"/>
      <c r="T674" s="3"/>
    </row>
    <row r="675" spans="6:20" ht="13" x14ac:dyDescent="0.15">
      <c r="F675" s="3"/>
      <c r="G675" s="3"/>
      <c r="H675" s="3"/>
      <c r="I675" s="3"/>
      <c r="J675" s="3"/>
      <c r="K675" s="3"/>
      <c r="L675" s="3"/>
      <c r="M675" s="3"/>
      <c r="N675" s="3"/>
      <c r="O675" s="3"/>
      <c r="S675" s="3"/>
      <c r="T675" s="3"/>
    </row>
    <row r="676" spans="6:20" ht="13" x14ac:dyDescent="0.15">
      <c r="F676" s="3"/>
      <c r="G676" s="3"/>
      <c r="H676" s="3"/>
      <c r="I676" s="3"/>
      <c r="J676" s="3"/>
      <c r="K676" s="3"/>
      <c r="L676" s="3"/>
      <c r="M676" s="3"/>
      <c r="N676" s="3"/>
      <c r="O676" s="3"/>
      <c r="S676" s="3"/>
      <c r="T676" s="3"/>
    </row>
    <row r="677" spans="6:20" ht="13" x14ac:dyDescent="0.15">
      <c r="F677" s="3"/>
      <c r="G677" s="3"/>
      <c r="H677" s="3"/>
      <c r="I677" s="3"/>
      <c r="J677" s="3"/>
      <c r="K677" s="3"/>
      <c r="L677" s="3"/>
      <c r="M677" s="3"/>
      <c r="N677" s="3"/>
      <c r="O677" s="3"/>
      <c r="S677" s="3"/>
      <c r="T677" s="3"/>
    </row>
    <row r="678" spans="6:20" ht="13" x14ac:dyDescent="0.15">
      <c r="F678" s="3"/>
      <c r="G678" s="3"/>
      <c r="H678" s="3"/>
      <c r="I678" s="3"/>
      <c r="J678" s="3"/>
      <c r="K678" s="3"/>
      <c r="L678" s="3"/>
      <c r="M678" s="3"/>
      <c r="N678" s="3"/>
      <c r="O678" s="3"/>
      <c r="S678" s="3"/>
      <c r="T678" s="3"/>
    </row>
    <row r="679" spans="6:20" ht="13" x14ac:dyDescent="0.15">
      <c r="F679" s="3"/>
      <c r="G679" s="3"/>
      <c r="H679" s="3"/>
      <c r="I679" s="3"/>
      <c r="J679" s="3"/>
      <c r="K679" s="3"/>
      <c r="L679" s="3"/>
      <c r="M679" s="3"/>
      <c r="N679" s="3"/>
      <c r="O679" s="3"/>
      <c r="S679" s="3"/>
      <c r="T679" s="3"/>
    </row>
    <row r="680" spans="6:20" ht="13" x14ac:dyDescent="0.15">
      <c r="F680" s="3"/>
      <c r="G680" s="3"/>
      <c r="H680" s="3"/>
      <c r="I680" s="3"/>
      <c r="J680" s="3"/>
      <c r="K680" s="3"/>
      <c r="L680" s="3"/>
      <c r="M680" s="3"/>
      <c r="N680" s="3"/>
      <c r="O680" s="3"/>
      <c r="S680" s="3"/>
      <c r="T680" s="3"/>
    </row>
    <row r="681" spans="6:20" ht="13" x14ac:dyDescent="0.15">
      <c r="F681" s="3"/>
      <c r="G681" s="3"/>
      <c r="H681" s="3"/>
      <c r="I681" s="3"/>
      <c r="J681" s="3"/>
      <c r="K681" s="3"/>
      <c r="L681" s="3"/>
      <c r="M681" s="3"/>
      <c r="N681" s="3"/>
      <c r="O681" s="3"/>
      <c r="S681" s="3"/>
      <c r="T681" s="3"/>
    </row>
    <row r="682" spans="6:20" ht="13" x14ac:dyDescent="0.15">
      <c r="F682" s="3"/>
      <c r="G682" s="3"/>
      <c r="H682" s="3"/>
      <c r="I682" s="3"/>
      <c r="J682" s="3"/>
      <c r="K682" s="3"/>
      <c r="L682" s="3"/>
      <c r="M682" s="3"/>
      <c r="N682" s="3"/>
      <c r="O682" s="3"/>
      <c r="S682" s="3"/>
      <c r="T682" s="3"/>
    </row>
    <row r="683" spans="6:20" ht="13" x14ac:dyDescent="0.15">
      <c r="F683" s="3"/>
      <c r="G683" s="3"/>
      <c r="H683" s="3"/>
      <c r="I683" s="3"/>
      <c r="J683" s="3"/>
      <c r="K683" s="3"/>
      <c r="L683" s="3"/>
      <c r="M683" s="3"/>
      <c r="N683" s="3"/>
      <c r="O683" s="3"/>
      <c r="S683" s="3"/>
      <c r="T683" s="3"/>
    </row>
    <row r="684" spans="6:20" ht="13" x14ac:dyDescent="0.15">
      <c r="F684" s="3"/>
      <c r="G684" s="3"/>
      <c r="H684" s="3"/>
      <c r="I684" s="3"/>
      <c r="J684" s="3"/>
      <c r="K684" s="3"/>
      <c r="L684" s="3"/>
      <c r="M684" s="3"/>
      <c r="N684" s="3"/>
      <c r="O684" s="3"/>
      <c r="S684" s="3"/>
      <c r="T684" s="3"/>
    </row>
    <row r="685" spans="6:20" ht="13" x14ac:dyDescent="0.15">
      <c r="F685" s="3"/>
      <c r="G685" s="3"/>
      <c r="H685" s="3"/>
      <c r="I685" s="3"/>
      <c r="J685" s="3"/>
      <c r="K685" s="3"/>
      <c r="L685" s="3"/>
      <c r="M685" s="3"/>
      <c r="N685" s="3"/>
      <c r="O685" s="3"/>
      <c r="S685" s="3"/>
      <c r="T685" s="3"/>
    </row>
    <row r="686" spans="6:20" ht="13" x14ac:dyDescent="0.15">
      <c r="F686" s="3"/>
      <c r="G686" s="3"/>
      <c r="H686" s="3"/>
      <c r="I686" s="3"/>
      <c r="J686" s="3"/>
      <c r="K686" s="3"/>
      <c r="L686" s="3"/>
      <c r="M686" s="3"/>
      <c r="N686" s="3"/>
      <c r="O686" s="3"/>
      <c r="S686" s="3"/>
      <c r="T686" s="3"/>
    </row>
    <row r="687" spans="6:20" ht="13" x14ac:dyDescent="0.15">
      <c r="F687" s="3"/>
      <c r="G687" s="3"/>
      <c r="H687" s="3"/>
      <c r="I687" s="3"/>
      <c r="J687" s="3"/>
      <c r="K687" s="3"/>
      <c r="L687" s="3"/>
      <c r="M687" s="3"/>
      <c r="N687" s="3"/>
      <c r="O687" s="3"/>
      <c r="S687" s="3"/>
      <c r="T687" s="3"/>
    </row>
    <row r="688" spans="6:20" ht="13" x14ac:dyDescent="0.15">
      <c r="F688" s="3"/>
      <c r="G688" s="3"/>
      <c r="H688" s="3"/>
      <c r="I688" s="3"/>
      <c r="J688" s="3"/>
      <c r="K688" s="3"/>
      <c r="L688" s="3"/>
      <c r="M688" s="3"/>
      <c r="N688" s="3"/>
      <c r="O688" s="3"/>
      <c r="S688" s="3"/>
      <c r="T688" s="3"/>
    </row>
    <row r="689" spans="6:20" ht="13" x14ac:dyDescent="0.15">
      <c r="F689" s="3"/>
      <c r="G689" s="3"/>
      <c r="H689" s="3"/>
      <c r="I689" s="3"/>
      <c r="J689" s="3"/>
      <c r="K689" s="3"/>
      <c r="L689" s="3"/>
      <c r="M689" s="3"/>
      <c r="N689" s="3"/>
      <c r="O689" s="3"/>
      <c r="S689" s="3"/>
      <c r="T689" s="3"/>
    </row>
    <row r="690" spans="6:20" ht="13" x14ac:dyDescent="0.15">
      <c r="F690" s="3"/>
      <c r="G690" s="3"/>
      <c r="H690" s="3"/>
      <c r="I690" s="3"/>
      <c r="J690" s="3"/>
      <c r="K690" s="3"/>
      <c r="L690" s="3"/>
      <c r="M690" s="3"/>
      <c r="N690" s="3"/>
      <c r="O690" s="3"/>
      <c r="S690" s="3"/>
      <c r="T690" s="3"/>
    </row>
    <row r="691" spans="6:20" ht="13" x14ac:dyDescent="0.15">
      <c r="F691" s="3"/>
      <c r="G691" s="3"/>
      <c r="H691" s="3"/>
      <c r="I691" s="3"/>
      <c r="J691" s="3"/>
      <c r="K691" s="3"/>
      <c r="L691" s="3"/>
      <c r="M691" s="3"/>
      <c r="N691" s="3"/>
      <c r="O691" s="3"/>
      <c r="S691" s="3"/>
      <c r="T691" s="3"/>
    </row>
    <row r="692" spans="6:20" ht="13" x14ac:dyDescent="0.15">
      <c r="F692" s="3"/>
      <c r="G692" s="3"/>
      <c r="H692" s="3"/>
      <c r="I692" s="3"/>
      <c r="J692" s="3"/>
      <c r="K692" s="3"/>
      <c r="L692" s="3"/>
      <c r="M692" s="3"/>
      <c r="N692" s="3"/>
      <c r="O692" s="3"/>
      <c r="S692" s="3"/>
      <c r="T692" s="3"/>
    </row>
    <row r="693" spans="6:20" ht="13" x14ac:dyDescent="0.15">
      <c r="F693" s="3"/>
      <c r="G693" s="3"/>
      <c r="H693" s="3"/>
      <c r="I693" s="3"/>
      <c r="J693" s="3"/>
      <c r="K693" s="3"/>
      <c r="L693" s="3"/>
      <c r="M693" s="3"/>
      <c r="N693" s="3"/>
      <c r="O693" s="3"/>
      <c r="S693" s="3"/>
      <c r="T693" s="3"/>
    </row>
    <row r="694" spans="6:20" ht="13" x14ac:dyDescent="0.15">
      <c r="F694" s="3"/>
      <c r="G694" s="3"/>
      <c r="H694" s="3"/>
      <c r="I694" s="3"/>
      <c r="J694" s="3"/>
      <c r="K694" s="3"/>
      <c r="L694" s="3"/>
      <c r="M694" s="3"/>
      <c r="N694" s="3"/>
      <c r="O694" s="3"/>
      <c r="S694" s="3"/>
      <c r="T694" s="3"/>
    </row>
    <row r="695" spans="6:20" ht="13" x14ac:dyDescent="0.15">
      <c r="F695" s="3"/>
      <c r="G695" s="3"/>
      <c r="H695" s="3"/>
      <c r="I695" s="3"/>
      <c r="J695" s="3"/>
      <c r="K695" s="3"/>
      <c r="L695" s="3"/>
      <c r="M695" s="3"/>
      <c r="N695" s="3"/>
      <c r="O695" s="3"/>
      <c r="S695" s="3"/>
      <c r="T695" s="3"/>
    </row>
    <row r="696" spans="6:20" ht="13" x14ac:dyDescent="0.15">
      <c r="F696" s="3"/>
      <c r="G696" s="3"/>
      <c r="H696" s="3"/>
      <c r="I696" s="3"/>
      <c r="J696" s="3"/>
      <c r="K696" s="3"/>
      <c r="L696" s="3"/>
      <c r="M696" s="3"/>
      <c r="N696" s="3"/>
      <c r="O696" s="3"/>
      <c r="S696" s="3"/>
      <c r="T696" s="3"/>
    </row>
    <row r="697" spans="6:20" ht="13" x14ac:dyDescent="0.15">
      <c r="F697" s="3"/>
      <c r="G697" s="3"/>
      <c r="H697" s="3"/>
      <c r="I697" s="3"/>
      <c r="J697" s="3"/>
      <c r="K697" s="3"/>
      <c r="L697" s="3"/>
      <c r="M697" s="3"/>
      <c r="N697" s="3"/>
      <c r="O697" s="3"/>
      <c r="S697" s="3"/>
      <c r="T697" s="3"/>
    </row>
    <row r="698" spans="6:20" ht="13" x14ac:dyDescent="0.15">
      <c r="F698" s="3"/>
      <c r="G698" s="3"/>
      <c r="H698" s="3"/>
      <c r="I698" s="3"/>
      <c r="J698" s="3"/>
      <c r="K698" s="3"/>
      <c r="L698" s="3"/>
      <c r="M698" s="3"/>
      <c r="N698" s="3"/>
      <c r="O698" s="3"/>
      <c r="S698" s="3"/>
      <c r="T698" s="3"/>
    </row>
    <row r="699" spans="6:20" ht="13" x14ac:dyDescent="0.15">
      <c r="F699" s="3"/>
      <c r="G699" s="3"/>
      <c r="H699" s="3"/>
      <c r="I699" s="3"/>
      <c r="J699" s="3"/>
      <c r="K699" s="3"/>
      <c r="L699" s="3"/>
      <c r="M699" s="3"/>
      <c r="N699" s="3"/>
      <c r="O699" s="3"/>
      <c r="S699" s="3"/>
      <c r="T699" s="3"/>
    </row>
    <row r="700" spans="6:20" ht="13" x14ac:dyDescent="0.15">
      <c r="F700" s="3"/>
      <c r="G700" s="3"/>
      <c r="H700" s="3"/>
      <c r="I700" s="3"/>
      <c r="J700" s="3"/>
      <c r="K700" s="3"/>
      <c r="L700" s="3"/>
      <c r="M700" s="3"/>
      <c r="N700" s="3"/>
      <c r="O700" s="3"/>
      <c r="S700" s="3"/>
      <c r="T700" s="3"/>
    </row>
    <row r="701" spans="6:20" ht="13" x14ac:dyDescent="0.15">
      <c r="F701" s="3"/>
      <c r="G701" s="3"/>
      <c r="H701" s="3"/>
      <c r="I701" s="3"/>
      <c r="J701" s="3"/>
      <c r="K701" s="3"/>
      <c r="L701" s="3"/>
      <c r="M701" s="3"/>
      <c r="N701" s="3"/>
      <c r="O701" s="3"/>
      <c r="S701" s="3"/>
      <c r="T701" s="3"/>
    </row>
    <row r="702" spans="6:20" ht="13" x14ac:dyDescent="0.15">
      <c r="F702" s="3"/>
      <c r="G702" s="3"/>
      <c r="H702" s="3"/>
      <c r="I702" s="3"/>
      <c r="J702" s="3"/>
      <c r="K702" s="3"/>
      <c r="L702" s="3"/>
      <c r="M702" s="3"/>
      <c r="N702" s="3"/>
      <c r="O702" s="3"/>
      <c r="S702" s="3"/>
      <c r="T702" s="3"/>
    </row>
    <row r="703" spans="6:20" ht="13" x14ac:dyDescent="0.15">
      <c r="F703" s="3"/>
      <c r="G703" s="3"/>
      <c r="H703" s="3"/>
      <c r="I703" s="3"/>
      <c r="J703" s="3"/>
      <c r="K703" s="3"/>
      <c r="L703" s="3"/>
      <c r="M703" s="3"/>
      <c r="N703" s="3"/>
      <c r="O703" s="3"/>
      <c r="S703" s="3"/>
      <c r="T703" s="3"/>
    </row>
    <row r="704" spans="6:20" ht="13" x14ac:dyDescent="0.15">
      <c r="F704" s="3"/>
      <c r="G704" s="3"/>
      <c r="H704" s="3"/>
      <c r="I704" s="3"/>
      <c r="J704" s="3"/>
      <c r="K704" s="3"/>
      <c r="L704" s="3"/>
      <c r="M704" s="3"/>
      <c r="N704" s="3"/>
      <c r="O704" s="3"/>
      <c r="S704" s="3"/>
      <c r="T704" s="3"/>
    </row>
    <row r="705" spans="6:20" ht="13" x14ac:dyDescent="0.15">
      <c r="F705" s="3"/>
      <c r="G705" s="3"/>
      <c r="H705" s="3"/>
      <c r="I705" s="3"/>
      <c r="J705" s="3"/>
      <c r="K705" s="3"/>
      <c r="L705" s="3"/>
      <c r="M705" s="3"/>
      <c r="N705" s="3"/>
      <c r="O705" s="3"/>
      <c r="S705" s="3"/>
      <c r="T705" s="3"/>
    </row>
    <row r="706" spans="6:20" ht="13" x14ac:dyDescent="0.15">
      <c r="F706" s="3"/>
      <c r="G706" s="3"/>
      <c r="H706" s="3"/>
      <c r="I706" s="3"/>
      <c r="J706" s="3"/>
      <c r="K706" s="3"/>
      <c r="L706" s="3"/>
      <c r="M706" s="3"/>
      <c r="N706" s="3"/>
      <c r="O706" s="3"/>
      <c r="S706" s="3"/>
      <c r="T706" s="3"/>
    </row>
    <row r="707" spans="6:20" ht="13" x14ac:dyDescent="0.15">
      <c r="F707" s="3"/>
      <c r="G707" s="3"/>
      <c r="H707" s="3"/>
      <c r="I707" s="3"/>
      <c r="J707" s="3"/>
      <c r="K707" s="3"/>
      <c r="L707" s="3"/>
      <c r="M707" s="3"/>
      <c r="N707" s="3"/>
      <c r="O707" s="3"/>
      <c r="S707" s="3"/>
      <c r="T707" s="3"/>
    </row>
    <row r="708" spans="6:20" ht="13" x14ac:dyDescent="0.15">
      <c r="F708" s="3"/>
      <c r="G708" s="3"/>
      <c r="H708" s="3"/>
      <c r="I708" s="3"/>
      <c r="J708" s="3"/>
      <c r="K708" s="3"/>
      <c r="L708" s="3"/>
      <c r="M708" s="3"/>
      <c r="N708" s="3"/>
      <c r="O708" s="3"/>
      <c r="S708" s="3"/>
      <c r="T708" s="3"/>
    </row>
    <row r="709" spans="6:20" ht="13" x14ac:dyDescent="0.15">
      <c r="F709" s="3"/>
      <c r="G709" s="3"/>
      <c r="H709" s="3"/>
      <c r="I709" s="3"/>
      <c r="J709" s="3"/>
      <c r="K709" s="3"/>
      <c r="L709" s="3"/>
      <c r="M709" s="3"/>
      <c r="N709" s="3"/>
      <c r="O709" s="3"/>
      <c r="S709" s="3"/>
      <c r="T709" s="3"/>
    </row>
    <row r="710" spans="6:20" ht="13" x14ac:dyDescent="0.15">
      <c r="F710" s="3"/>
      <c r="G710" s="3"/>
      <c r="H710" s="3"/>
      <c r="I710" s="3"/>
      <c r="J710" s="3"/>
      <c r="K710" s="3"/>
      <c r="L710" s="3"/>
      <c r="M710" s="3"/>
      <c r="N710" s="3"/>
      <c r="O710" s="3"/>
      <c r="S710" s="3"/>
      <c r="T710" s="3"/>
    </row>
    <row r="711" spans="6:20" ht="13" x14ac:dyDescent="0.15">
      <c r="F711" s="3"/>
      <c r="G711" s="3"/>
      <c r="H711" s="3"/>
      <c r="I711" s="3"/>
      <c r="J711" s="3"/>
      <c r="K711" s="3"/>
      <c r="L711" s="3"/>
      <c r="M711" s="3"/>
      <c r="N711" s="3"/>
      <c r="O711" s="3"/>
      <c r="S711" s="3"/>
      <c r="T711" s="3"/>
    </row>
    <row r="712" spans="6:20" ht="13" x14ac:dyDescent="0.15">
      <c r="F712" s="3"/>
      <c r="G712" s="3"/>
      <c r="H712" s="3"/>
      <c r="I712" s="3"/>
      <c r="J712" s="3"/>
      <c r="K712" s="3"/>
      <c r="L712" s="3"/>
      <c r="M712" s="3"/>
      <c r="N712" s="3"/>
      <c r="O712" s="3"/>
      <c r="S712" s="3"/>
      <c r="T712" s="3"/>
    </row>
    <row r="713" spans="6:20" ht="13" x14ac:dyDescent="0.15">
      <c r="F713" s="3"/>
      <c r="G713" s="3"/>
      <c r="H713" s="3"/>
      <c r="I713" s="3"/>
      <c r="J713" s="3"/>
      <c r="K713" s="3"/>
      <c r="L713" s="3"/>
      <c r="M713" s="3"/>
      <c r="N713" s="3"/>
      <c r="O713" s="3"/>
      <c r="S713" s="3"/>
      <c r="T713" s="3"/>
    </row>
    <row r="714" spans="6:20" ht="13" x14ac:dyDescent="0.15">
      <c r="F714" s="3"/>
      <c r="G714" s="3"/>
      <c r="H714" s="3"/>
      <c r="I714" s="3"/>
      <c r="J714" s="3"/>
      <c r="K714" s="3"/>
      <c r="L714" s="3"/>
      <c r="M714" s="3"/>
      <c r="N714" s="3"/>
      <c r="O714" s="3"/>
      <c r="S714" s="3"/>
      <c r="T714" s="3"/>
    </row>
    <row r="715" spans="6:20" ht="13" x14ac:dyDescent="0.15">
      <c r="F715" s="3"/>
      <c r="G715" s="3"/>
      <c r="H715" s="3"/>
      <c r="I715" s="3"/>
      <c r="J715" s="3"/>
      <c r="K715" s="3"/>
      <c r="L715" s="3"/>
      <c r="M715" s="3"/>
      <c r="N715" s="3"/>
      <c r="O715" s="3"/>
      <c r="S715" s="3"/>
      <c r="T715" s="3"/>
    </row>
    <row r="716" spans="6:20" ht="13" x14ac:dyDescent="0.15">
      <c r="F716" s="3"/>
      <c r="G716" s="3"/>
      <c r="H716" s="3"/>
      <c r="I716" s="3"/>
      <c r="J716" s="3"/>
      <c r="K716" s="3"/>
      <c r="L716" s="3"/>
      <c r="M716" s="3"/>
      <c r="N716" s="3"/>
      <c r="O716" s="3"/>
      <c r="S716" s="3"/>
      <c r="T716" s="3"/>
    </row>
    <row r="717" spans="6:20" ht="13" x14ac:dyDescent="0.15">
      <c r="F717" s="3"/>
      <c r="G717" s="3"/>
      <c r="H717" s="3"/>
      <c r="I717" s="3"/>
      <c r="J717" s="3"/>
      <c r="K717" s="3"/>
      <c r="L717" s="3"/>
      <c r="M717" s="3"/>
      <c r="N717" s="3"/>
      <c r="O717" s="3"/>
      <c r="S717" s="3"/>
      <c r="T717" s="3"/>
    </row>
    <row r="718" spans="6:20" ht="13" x14ac:dyDescent="0.15">
      <c r="F718" s="3"/>
      <c r="G718" s="3"/>
      <c r="H718" s="3"/>
      <c r="I718" s="3"/>
      <c r="J718" s="3"/>
      <c r="K718" s="3"/>
      <c r="L718" s="3"/>
      <c r="M718" s="3"/>
      <c r="N718" s="3"/>
      <c r="O718" s="3"/>
      <c r="S718" s="3"/>
      <c r="T718" s="3"/>
    </row>
    <row r="719" spans="6:20" ht="13" x14ac:dyDescent="0.15">
      <c r="F719" s="3"/>
      <c r="G719" s="3"/>
      <c r="H719" s="3"/>
      <c r="I719" s="3"/>
      <c r="J719" s="3"/>
      <c r="K719" s="3"/>
      <c r="L719" s="3"/>
      <c r="M719" s="3"/>
      <c r="N719" s="3"/>
      <c r="O719" s="3"/>
      <c r="S719" s="3"/>
      <c r="T719" s="3"/>
    </row>
    <row r="720" spans="6:20" ht="13" x14ac:dyDescent="0.15">
      <c r="F720" s="3"/>
      <c r="G720" s="3"/>
      <c r="H720" s="3"/>
      <c r="I720" s="3"/>
      <c r="J720" s="3"/>
      <c r="K720" s="3"/>
      <c r="L720" s="3"/>
      <c r="M720" s="3"/>
      <c r="N720" s="3"/>
      <c r="O720" s="3"/>
      <c r="S720" s="3"/>
      <c r="T720" s="3"/>
    </row>
    <row r="721" spans="6:20" ht="13" x14ac:dyDescent="0.15">
      <c r="F721" s="3"/>
      <c r="G721" s="3"/>
      <c r="H721" s="3"/>
      <c r="I721" s="3"/>
      <c r="J721" s="3"/>
      <c r="K721" s="3"/>
      <c r="L721" s="3"/>
      <c r="M721" s="3"/>
      <c r="N721" s="3"/>
      <c r="O721" s="3"/>
      <c r="S721" s="3"/>
      <c r="T721" s="3"/>
    </row>
    <row r="722" spans="6:20" ht="13" x14ac:dyDescent="0.15">
      <c r="F722" s="3"/>
      <c r="G722" s="3"/>
      <c r="H722" s="3"/>
      <c r="I722" s="3"/>
      <c r="J722" s="3"/>
      <c r="K722" s="3"/>
      <c r="L722" s="3"/>
      <c r="M722" s="3"/>
      <c r="N722" s="3"/>
      <c r="O722" s="3"/>
      <c r="S722" s="3"/>
      <c r="T722" s="3"/>
    </row>
    <row r="723" spans="6:20" ht="13" x14ac:dyDescent="0.15">
      <c r="F723" s="3"/>
      <c r="G723" s="3"/>
      <c r="H723" s="3"/>
      <c r="I723" s="3"/>
      <c r="J723" s="3"/>
      <c r="K723" s="3"/>
      <c r="L723" s="3"/>
      <c r="M723" s="3"/>
      <c r="N723" s="3"/>
      <c r="O723" s="3"/>
      <c r="S723" s="3"/>
      <c r="T723" s="3"/>
    </row>
    <row r="724" spans="6:20" ht="13" x14ac:dyDescent="0.15">
      <c r="F724" s="3"/>
      <c r="G724" s="3"/>
      <c r="H724" s="3"/>
      <c r="I724" s="3"/>
      <c r="J724" s="3"/>
      <c r="K724" s="3"/>
      <c r="L724" s="3"/>
      <c r="M724" s="3"/>
      <c r="N724" s="3"/>
      <c r="O724" s="3"/>
      <c r="S724" s="3"/>
      <c r="T724" s="3"/>
    </row>
    <row r="725" spans="6:20" ht="13" x14ac:dyDescent="0.15">
      <c r="F725" s="3"/>
      <c r="G725" s="3"/>
      <c r="H725" s="3"/>
      <c r="I725" s="3"/>
      <c r="J725" s="3"/>
      <c r="K725" s="3"/>
      <c r="L725" s="3"/>
      <c r="M725" s="3"/>
      <c r="N725" s="3"/>
      <c r="O725" s="3"/>
      <c r="S725" s="3"/>
      <c r="T725" s="3"/>
    </row>
    <row r="726" spans="6:20" ht="13" x14ac:dyDescent="0.15">
      <c r="F726" s="3"/>
      <c r="G726" s="3"/>
      <c r="H726" s="3"/>
      <c r="I726" s="3"/>
      <c r="J726" s="3"/>
      <c r="K726" s="3"/>
      <c r="L726" s="3"/>
      <c r="M726" s="3"/>
      <c r="N726" s="3"/>
      <c r="O726" s="3"/>
      <c r="S726" s="3"/>
      <c r="T726" s="3"/>
    </row>
    <row r="727" spans="6:20" ht="13" x14ac:dyDescent="0.15">
      <c r="F727" s="3"/>
      <c r="G727" s="3"/>
      <c r="H727" s="3"/>
      <c r="I727" s="3"/>
      <c r="J727" s="3"/>
      <c r="K727" s="3"/>
      <c r="L727" s="3"/>
      <c r="M727" s="3"/>
      <c r="N727" s="3"/>
      <c r="O727" s="3"/>
      <c r="S727" s="3"/>
      <c r="T727" s="3"/>
    </row>
    <row r="728" spans="6:20" ht="13" x14ac:dyDescent="0.15">
      <c r="F728" s="3"/>
      <c r="G728" s="3"/>
      <c r="H728" s="3"/>
      <c r="I728" s="3"/>
      <c r="J728" s="3"/>
      <c r="K728" s="3"/>
      <c r="L728" s="3"/>
      <c r="M728" s="3"/>
      <c r="N728" s="3"/>
      <c r="O728" s="3"/>
      <c r="S728" s="3"/>
      <c r="T728" s="3"/>
    </row>
    <row r="729" spans="6:20" ht="13" x14ac:dyDescent="0.15">
      <c r="F729" s="3"/>
      <c r="G729" s="3"/>
      <c r="H729" s="3"/>
      <c r="I729" s="3"/>
      <c r="J729" s="3"/>
      <c r="K729" s="3"/>
      <c r="L729" s="3"/>
      <c r="M729" s="3"/>
      <c r="N729" s="3"/>
      <c r="O729" s="3"/>
      <c r="S729" s="3"/>
      <c r="T729" s="3"/>
    </row>
    <row r="730" spans="6:20" ht="13" x14ac:dyDescent="0.15">
      <c r="F730" s="3"/>
      <c r="G730" s="3"/>
      <c r="H730" s="3"/>
      <c r="I730" s="3"/>
      <c r="J730" s="3"/>
      <c r="K730" s="3"/>
      <c r="L730" s="3"/>
      <c r="M730" s="3"/>
      <c r="N730" s="3"/>
      <c r="O730" s="3"/>
      <c r="S730" s="3"/>
      <c r="T730" s="3"/>
    </row>
    <row r="731" spans="6:20" ht="13" x14ac:dyDescent="0.15">
      <c r="F731" s="3"/>
      <c r="G731" s="3"/>
      <c r="H731" s="3"/>
      <c r="I731" s="3"/>
      <c r="J731" s="3"/>
      <c r="K731" s="3"/>
      <c r="L731" s="3"/>
      <c r="M731" s="3"/>
      <c r="N731" s="3"/>
      <c r="O731" s="3"/>
      <c r="S731" s="3"/>
      <c r="T731" s="3"/>
    </row>
    <row r="732" spans="6:20" ht="13" x14ac:dyDescent="0.15">
      <c r="F732" s="3"/>
      <c r="G732" s="3"/>
      <c r="H732" s="3"/>
      <c r="I732" s="3"/>
      <c r="J732" s="3"/>
      <c r="K732" s="3"/>
      <c r="L732" s="3"/>
      <c r="M732" s="3"/>
      <c r="N732" s="3"/>
      <c r="O732" s="3"/>
      <c r="S732" s="3"/>
      <c r="T732" s="3"/>
    </row>
    <row r="733" spans="6:20" ht="13" x14ac:dyDescent="0.15">
      <c r="F733" s="3"/>
      <c r="G733" s="3"/>
      <c r="H733" s="3"/>
      <c r="I733" s="3"/>
      <c r="J733" s="3"/>
      <c r="K733" s="3"/>
      <c r="L733" s="3"/>
      <c r="M733" s="3"/>
      <c r="N733" s="3"/>
      <c r="O733" s="3"/>
      <c r="S733" s="3"/>
      <c r="T733" s="3"/>
    </row>
    <row r="734" spans="6:20" ht="13" x14ac:dyDescent="0.15">
      <c r="F734" s="3"/>
      <c r="G734" s="3"/>
      <c r="H734" s="3"/>
      <c r="I734" s="3"/>
      <c r="J734" s="3"/>
      <c r="K734" s="3"/>
      <c r="L734" s="3"/>
      <c r="M734" s="3"/>
      <c r="N734" s="3"/>
      <c r="O734" s="3"/>
      <c r="S734" s="3"/>
      <c r="T734" s="3"/>
    </row>
    <row r="735" spans="6:20" ht="13" x14ac:dyDescent="0.15">
      <c r="F735" s="3"/>
      <c r="G735" s="3"/>
      <c r="H735" s="3"/>
      <c r="I735" s="3"/>
      <c r="J735" s="3"/>
      <c r="K735" s="3"/>
      <c r="L735" s="3"/>
      <c r="M735" s="3"/>
      <c r="N735" s="3"/>
      <c r="O735" s="3"/>
      <c r="S735" s="3"/>
      <c r="T735" s="3"/>
    </row>
    <row r="736" spans="6:20" ht="13" x14ac:dyDescent="0.15">
      <c r="F736" s="3"/>
      <c r="G736" s="3"/>
      <c r="H736" s="3"/>
      <c r="I736" s="3"/>
      <c r="J736" s="3"/>
      <c r="K736" s="3"/>
      <c r="L736" s="3"/>
      <c r="M736" s="3"/>
      <c r="N736" s="3"/>
      <c r="O736" s="3"/>
      <c r="S736" s="3"/>
      <c r="T736" s="3"/>
    </row>
    <row r="737" spans="6:20" ht="13" x14ac:dyDescent="0.15">
      <c r="F737" s="3"/>
      <c r="G737" s="3"/>
      <c r="H737" s="3"/>
      <c r="I737" s="3"/>
      <c r="J737" s="3"/>
      <c r="K737" s="3"/>
      <c r="L737" s="3"/>
      <c r="M737" s="3"/>
      <c r="N737" s="3"/>
      <c r="O737" s="3"/>
      <c r="S737" s="3"/>
      <c r="T737" s="3"/>
    </row>
    <row r="738" spans="6:20" ht="13" x14ac:dyDescent="0.15">
      <c r="F738" s="3"/>
      <c r="G738" s="3"/>
      <c r="H738" s="3"/>
      <c r="I738" s="3"/>
      <c r="J738" s="3"/>
      <c r="K738" s="3"/>
      <c r="L738" s="3"/>
      <c r="M738" s="3"/>
      <c r="N738" s="3"/>
      <c r="O738" s="3"/>
      <c r="S738" s="3"/>
      <c r="T738" s="3"/>
    </row>
    <row r="739" spans="6:20" ht="13" x14ac:dyDescent="0.15">
      <c r="F739" s="3"/>
      <c r="G739" s="3"/>
      <c r="H739" s="3"/>
      <c r="I739" s="3"/>
      <c r="J739" s="3"/>
      <c r="K739" s="3"/>
      <c r="L739" s="3"/>
      <c r="M739" s="3"/>
      <c r="N739" s="3"/>
      <c r="O739" s="3"/>
      <c r="S739" s="3"/>
      <c r="T739" s="3"/>
    </row>
    <row r="740" spans="6:20" ht="13" x14ac:dyDescent="0.15">
      <c r="F740" s="3"/>
      <c r="G740" s="3"/>
      <c r="H740" s="3"/>
      <c r="I740" s="3"/>
      <c r="J740" s="3"/>
      <c r="K740" s="3"/>
      <c r="L740" s="3"/>
      <c r="M740" s="3"/>
      <c r="N740" s="3"/>
      <c r="O740" s="3"/>
      <c r="S740" s="3"/>
      <c r="T740" s="3"/>
    </row>
    <row r="741" spans="6:20" ht="13" x14ac:dyDescent="0.15">
      <c r="F741" s="3"/>
      <c r="G741" s="3"/>
      <c r="H741" s="3"/>
      <c r="I741" s="3"/>
      <c r="J741" s="3"/>
      <c r="K741" s="3"/>
      <c r="L741" s="3"/>
      <c r="M741" s="3"/>
      <c r="N741" s="3"/>
      <c r="O741" s="3"/>
      <c r="S741" s="3"/>
      <c r="T741" s="3"/>
    </row>
    <row r="742" spans="6:20" ht="13" x14ac:dyDescent="0.15">
      <c r="F742" s="3"/>
      <c r="G742" s="3"/>
      <c r="H742" s="3"/>
      <c r="I742" s="3"/>
      <c r="J742" s="3"/>
      <c r="K742" s="3"/>
      <c r="L742" s="3"/>
      <c r="M742" s="3"/>
      <c r="N742" s="3"/>
      <c r="O742" s="3"/>
      <c r="S742" s="3"/>
      <c r="T742" s="3"/>
    </row>
    <row r="743" spans="6:20" ht="13" x14ac:dyDescent="0.15">
      <c r="F743" s="3"/>
      <c r="G743" s="3"/>
      <c r="H743" s="3"/>
      <c r="I743" s="3"/>
      <c r="J743" s="3"/>
      <c r="K743" s="3"/>
      <c r="L743" s="3"/>
      <c r="M743" s="3"/>
      <c r="N743" s="3"/>
      <c r="O743" s="3"/>
      <c r="S743" s="3"/>
      <c r="T743" s="3"/>
    </row>
    <row r="744" spans="6:20" ht="13" x14ac:dyDescent="0.15">
      <c r="F744" s="3"/>
      <c r="G744" s="3"/>
      <c r="H744" s="3"/>
      <c r="I744" s="3"/>
      <c r="J744" s="3"/>
      <c r="K744" s="3"/>
      <c r="L744" s="3"/>
      <c r="M744" s="3"/>
      <c r="N744" s="3"/>
      <c r="O744" s="3"/>
      <c r="S744" s="3"/>
      <c r="T744" s="3"/>
    </row>
    <row r="745" spans="6:20" ht="13" x14ac:dyDescent="0.15">
      <c r="F745" s="3"/>
      <c r="G745" s="3"/>
      <c r="H745" s="3"/>
      <c r="I745" s="3"/>
      <c r="J745" s="3"/>
      <c r="K745" s="3"/>
      <c r="L745" s="3"/>
      <c r="M745" s="3"/>
      <c r="N745" s="3"/>
      <c r="O745" s="3"/>
      <c r="S745" s="3"/>
      <c r="T745" s="3"/>
    </row>
    <row r="746" spans="6:20" ht="13" x14ac:dyDescent="0.15">
      <c r="F746" s="3"/>
      <c r="G746" s="3"/>
      <c r="H746" s="3"/>
      <c r="I746" s="3"/>
      <c r="J746" s="3"/>
      <c r="K746" s="3"/>
      <c r="L746" s="3"/>
      <c r="M746" s="3"/>
      <c r="N746" s="3"/>
      <c r="O746" s="3"/>
      <c r="S746" s="3"/>
      <c r="T746" s="3"/>
    </row>
    <row r="747" spans="6:20" ht="13" x14ac:dyDescent="0.15">
      <c r="F747" s="3"/>
      <c r="G747" s="3"/>
      <c r="H747" s="3"/>
      <c r="I747" s="3"/>
      <c r="J747" s="3"/>
      <c r="K747" s="3"/>
      <c r="L747" s="3"/>
      <c r="M747" s="3"/>
      <c r="N747" s="3"/>
      <c r="O747" s="3"/>
      <c r="S747" s="3"/>
      <c r="T747" s="3"/>
    </row>
    <row r="748" spans="6:20" ht="13" x14ac:dyDescent="0.15">
      <c r="F748" s="3"/>
      <c r="G748" s="3"/>
      <c r="H748" s="3"/>
      <c r="I748" s="3"/>
      <c r="J748" s="3"/>
      <c r="K748" s="3"/>
      <c r="L748" s="3"/>
      <c r="M748" s="3"/>
      <c r="N748" s="3"/>
      <c r="O748" s="3"/>
      <c r="S748" s="3"/>
      <c r="T748" s="3"/>
    </row>
    <row r="749" spans="6:20" ht="13" x14ac:dyDescent="0.15">
      <c r="F749" s="3"/>
      <c r="G749" s="3"/>
      <c r="H749" s="3"/>
      <c r="I749" s="3"/>
      <c r="J749" s="3"/>
      <c r="K749" s="3"/>
      <c r="L749" s="3"/>
      <c r="M749" s="3"/>
      <c r="N749" s="3"/>
      <c r="O749" s="3"/>
      <c r="S749" s="3"/>
      <c r="T749" s="3"/>
    </row>
    <row r="750" spans="6:20" ht="13" x14ac:dyDescent="0.15">
      <c r="F750" s="3"/>
      <c r="G750" s="3"/>
      <c r="H750" s="3"/>
      <c r="I750" s="3"/>
      <c r="J750" s="3"/>
      <c r="K750" s="3"/>
      <c r="L750" s="3"/>
      <c r="M750" s="3"/>
      <c r="N750" s="3"/>
      <c r="O750" s="3"/>
      <c r="S750" s="3"/>
      <c r="T750" s="3"/>
    </row>
    <row r="751" spans="6:20" ht="13" x14ac:dyDescent="0.15">
      <c r="F751" s="3"/>
      <c r="G751" s="3"/>
      <c r="H751" s="3"/>
      <c r="I751" s="3"/>
      <c r="J751" s="3"/>
      <c r="K751" s="3"/>
      <c r="L751" s="3"/>
      <c r="M751" s="3"/>
      <c r="N751" s="3"/>
      <c r="O751" s="3"/>
      <c r="S751" s="3"/>
      <c r="T751" s="3"/>
    </row>
    <row r="752" spans="6:20" ht="13" x14ac:dyDescent="0.15">
      <c r="F752" s="3"/>
      <c r="G752" s="3"/>
      <c r="H752" s="3"/>
      <c r="I752" s="3"/>
      <c r="J752" s="3"/>
      <c r="K752" s="3"/>
      <c r="L752" s="3"/>
      <c r="M752" s="3"/>
      <c r="N752" s="3"/>
      <c r="O752" s="3"/>
      <c r="S752" s="3"/>
      <c r="T752" s="3"/>
    </row>
    <row r="753" spans="6:20" ht="13" x14ac:dyDescent="0.15">
      <c r="F753" s="3"/>
      <c r="G753" s="3"/>
      <c r="H753" s="3"/>
      <c r="I753" s="3"/>
      <c r="J753" s="3"/>
      <c r="K753" s="3"/>
      <c r="L753" s="3"/>
      <c r="M753" s="3"/>
      <c r="N753" s="3"/>
      <c r="O753" s="3"/>
      <c r="S753" s="3"/>
      <c r="T753" s="3"/>
    </row>
    <row r="754" spans="6:20" ht="13" x14ac:dyDescent="0.15">
      <c r="F754" s="3"/>
      <c r="G754" s="3"/>
      <c r="H754" s="3"/>
      <c r="I754" s="3"/>
      <c r="J754" s="3"/>
      <c r="K754" s="3"/>
      <c r="L754" s="3"/>
      <c r="M754" s="3"/>
      <c r="N754" s="3"/>
      <c r="O754" s="3"/>
      <c r="S754" s="3"/>
      <c r="T754" s="3"/>
    </row>
    <row r="755" spans="6:20" ht="13" x14ac:dyDescent="0.15">
      <c r="F755" s="3"/>
      <c r="G755" s="3"/>
      <c r="H755" s="3"/>
      <c r="I755" s="3"/>
      <c r="J755" s="3"/>
      <c r="K755" s="3"/>
      <c r="L755" s="3"/>
      <c r="M755" s="3"/>
      <c r="N755" s="3"/>
      <c r="O755" s="3"/>
      <c r="S755" s="3"/>
      <c r="T755" s="3"/>
    </row>
    <row r="756" spans="6:20" ht="13" x14ac:dyDescent="0.15">
      <c r="F756" s="3"/>
      <c r="G756" s="3"/>
      <c r="H756" s="3"/>
      <c r="I756" s="3"/>
      <c r="J756" s="3"/>
      <c r="K756" s="3"/>
      <c r="L756" s="3"/>
      <c r="M756" s="3"/>
      <c r="N756" s="3"/>
      <c r="O756" s="3"/>
      <c r="S756" s="3"/>
      <c r="T756" s="3"/>
    </row>
    <row r="757" spans="6:20" ht="13" x14ac:dyDescent="0.15">
      <c r="F757" s="3"/>
      <c r="G757" s="3"/>
      <c r="H757" s="3"/>
      <c r="I757" s="3"/>
      <c r="J757" s="3"/>
      <c r="K757" s="3"/>
      <c r="L757" s="3"/>
      <c r="M757" s="3"/>
      <c r="N757" s="3"/>
      <c r="O757" s="3"/>
      <c r="S757" s="3"/>
      <c r="T757" s="3"/>
    </row>
    <row r="758" spans="6:20" ht="13" x14ac:dyDescent="0.15">
      <c r="F758" s="3"/>
      <c r="G758" s="3"/>
      <c r="H758" s="3"/>
      <c r="I758" s="3"/>
      <c r="J758" s="3"/>
      <c r="K758" s="3"/>
      <c r="L758" s="3"/>
      <c r="M758" s="3"/>
      <c r="N758" s="3"/>
      <c r="O758" s="3"/>
      <c r="S758" s="3"/>
      <c r="T758" s="3"/>
    </row>
    <row r="759" spans="6:20" ht="13" x14ac:dyDescent="0.15">
      <c r="F759" s="3"/>
      <c r="G759" s="3"/>
      <c r="H759" s="3"/>
      <c r="I759" s="3"/>
      <c r="J759" s="3"/>
      <c r="K759" s="3"/>
      <c r="L759" s="3"/>
      <c r="M759" s="3"/>
      <c r="N759" s="3"/>
      <c r="O759" s="3"/>
      <c r="S759" s="3"/>
      <c r="T759" s="3"/>
    </row>
    <row r="760" spans="6:20" ht="13" x14ac:dyDescent="0.15">
      <c r="F760" s="3"/>
      <c r="G760" s="3"/>
      <c r="H760" s="3"/>
      <c r="I760" s="3"/>
      <c r="J760" s="3"/>
      <c r="K760" s="3"/>
      <c r="L760" s="3"/>
      <c r="M760" s="3"/>
      <c r="N760" s="3"/>
      <c r="O760" s="3"/>
      <c r="S760" s="3"/>
      <c r="T760" s="3"/>
    </row>
    <row r="761" spans="6:20" ht="13" x14ac:dyDescent="0.15">
      <c r="F761" s="3"/>
      <c r="G761" s="3"/>
      <c r="H761" s="3"/>
      <c r="I761" s="3"/>
      <c r="J761" s="3"/>
      <c r="K761" s="3"/>
      <c r="L761" s="3"/>
      <c r="M761" s="3"/>
      <c r="N761" s="3"/>
      <c r="O761" s="3"/>
      <c r="S761" s="3"/>
      <c r="T761" s="3"/>
    </row>
    <row r="762" spans="6:20" ht="13" x14ac:dyDescent="0.15">
      <c r="F762" s="3"/>
      <c r="G762" s="3"/>
      <c r="H762" s="3"/>
      <c r="I762" s="3"/>
      <c r="J762" s="3"/>
      <c r="K762" s="3"/>
      <c r="L762" s="3"/>
      <c r="M762" s="3"/>
      <c r="N762" s="3"/>
      <c r="O762" s="3"/>
      <c r="S762" s="3"/>
      <c r="T762" s="3"/>
    </row>
    <row r="763" spans="6:20" ht="13" x14ac:dyDescent="0.15">
      <c r="F763" s="3"/>
      <c r="G763" s="3"/>
      <c r="H763" s="3"/>
      <c r="I763" s="3"/>
      <c r="J763" s="3"/>
      <c r="K763" s="3"/>
      <c r="L763" s="3"/>
      <c r="M763" s="3"/>
      <c r="N763" s="3"/>
      <c r="O763" s="3"/>
      <c r="S763" s="3"/>
      <c r="T763" s="3"/>
    </row>
    <row r="764" spans="6:20" ht="13" x14ac:dyDescent="0.15">
      <c r="F764" s="3"/>
      <c r="G764" s="3"/>
      <c r="H764" s="3"/>
      <c r="I764" s="3"/>
      <c r="J764" s="3"/>
      <c r="K764" s="3"/>
      <c r="L764" s="3"/>
      <c r="M764" s="3"/>
      <c r="N764" s="3"/>
      <c r="O764" s="3"/>
      <c r="S764" s="3"/>
      <c r="T764" s="3"/>
    </row>
    <row r="765" spans="6:20" ht="13" x14ac:dyDescent="0.15">
      <c r="F765" s="3"/>
      <c r="G765" s="3"/>
      <c r="H765" s="3"/>
      <c r="I765" s="3"/>
      <c r="J765" s="3"/>
      <c r="K765" s="3"/>
      <c r="L765" s="3"/>
      <c r="M765" s="3"/>
      <c r="N765" s="3"/>
      <c r="O765" s="3"/>
      <c r="S765" s="3"/>
      <c r="T765" s="3"/>
    </row>
    <row r="766" spans="6:20" ht="13" x14ac:dyDescent="0.15">
      <c r="F766" s="3"/>
      <c r="G766" s="3"/>
      <c r="H766" s="3"/>
      <c r="I766" s="3"/>
      <c r="J766" s="3"/>
      <c r="K766" s="3"/>
      <c r="L766" s="3"/>
      <c r="M766" s="3"/>
      <c r="N766" s="3"/>
      <c r="O766" s="3"/>
      <c r="S766" s="3"/>
      <c r="T766" s="3"/>
    </row>
    <row r="767" spans="6:20" ht="13" x14ac:dyDescent="0.15">
      <c r="F767" s="3"/>
      <c r="G767" s="3"/>
      <c r="H767" s="3"/>
      <c r="I767" s="3"/>
      <c r="J767" s="3"/>
      <c r="K767" s="3"/>
      <c r="L767" s="3"/>
      <c r="M767" s="3"/>
      <c r="N767" s="3"/>
      <c r="O767" s="3"/>
      <c r="S767" s="3"/>
      <c r="T767" s="3"/>
    </row>
    <row r="768" spans="6:20" ht="13" x14ac:dyDescent="0.15">
      <c r="F768" s="3"/>
      <c r="G768" s="3"/>
      <c r="H768" s="3"/>
      <c r="I768" s="3"/>
      <c r="J768" s="3"/>
      <c r="K768" s="3"/>
      <c r="L768" s="3"/>
      <c r="M768" s="3"/>
      <c r="N768" s="3"/>
      <c r="O768" s="3"/>
      <c r="S768" s="3"/>
      <c r="T768" s="3"/>
    </row>
    <row r="769" spans="6:20" ht="13" x14ac:dyDescent="0.15">
      <c r="F769" s="3"/>
      <c r="G769" s="3"/>
      <c r="H769" s="3"/>
      <c r="I769" s="3"/>
      <c r="J769" s="3"/>
      <c r="K769" s="3"/>
      <c r="L769" s="3"/>
      <c r="M769" s="3"/>
      <c r="N769" s="3"/>
      <c r="O769" s="3"/>
      <c r="S769" s="3"/>
      <c r="T769" s="3"/>
    </row>
    <row r="770" spans="6:20" ht="13" x14ac:dyDescent="0.15">
      <c r="F770" s="3"/>
      <c r="G770" s="3"/>
      <c r="H770" s="3"/>
      <c r="I770" s="3"/>
      <c r="J770" s="3"/>
      <c r="K770" s="3"/>
      <c r="L770" s="3"/>
      <c r="M770" s="3"/>
      <c r="N770" s="3"/>
      <c r="O770" s="3"/>
      <c r="S770" s="3"/>
      <c r="T770" s="3"/>
    </row>
    <row r="771" spans="6:20" ht="13" x14ac:dyDescent="0.15">
      <c r="F771" s="3"/>
      <c r="G771" s="3"/>
      <c r="H771" s="3"/>
      <c r="I771" s="3"/>
      <c r="J771" s="3"/>
      <c r="K771" s="3"/>
      <c r="L771" s="3"/>
      <c r="M771" s="3"/>
      <c r="N771" s="3"/>
      <c r="O771" s="3"/>
      <c r="S771" s="3"/>
      <c r="T771" s="3"/>
    </row>
    <row r="772" spans="6:20" ht="13" x14ac:dyDescent="0.15">
      <c r="F772" s="3"/>
      <c r="G772" s="3"/>
      <c r="H772" s="3"/>
      <c r="I772" s="3"/>
      <c r="J772" s="3"/>
      <c r="K772" s="3"/>
      <c r="L772" s="3"/>
      <c r="M772" s="3"/>
      <c r="N772" s="3"/>
      <c r="O772" s="3"/>
      <c r="S772" s="3"/>
      <c r="T772" s="3"/>
    </row>
    <row r="773" spans="6:20" ht="13" x14ac:dyDescent="0.15">
      <c r="F773" s="3"/>
      <c r="G773" s="3"/>
      <c r="H773" s="3"/>
      <c r="I773" s="3"/>
      <c r="J773" s="3"/>
      <c r="K773" s="3"/>
      <c r="L773" s="3"/>
      <c r="M773" s="3"/>
      <c r="N773" s="3"/>
      <c r="O773" s="3"/>
      <c r="S773" s="3"/>
      <c r="T773" s="3"/>
    </row>
    <row r="774" spans="6:20" ht="13" x14ac:dyDescent="0.15">
      <c r="F774" s="3"/>
      <c r="G774" s="3"/>
      <c r="H774" s="3"/>
      <c r="I774" s="3"/>
      <c r="J774" s="3"/>
      <c r="K774" s="3"/>
      <c r="L774" s="3"/>
      <c r="M774" s="3"/>
      <c r="N774" s="3"/>
      <c r="O774" s="3"/>
      <c r="S774" s="3"/>
      <c r="T774" s="3"/>
    </row>
    <row r="775" spans="6:20" ht="13" x14ac:dyDescent="0.15">
      <c r="F775" s="3"/>
      <c r="G775" s="3"/>
      <c r="H775" s="3"/>
      <c r="I775" s="3"/>
      <c r="J775" s="3"/>
      <c r="K775" s="3"/>
      <c r="L775" s="3"/>
      <c r="M775" s="3"/>
      <c r="N775" s="3"/>
      <c r="O775" s="3"/>
      <c r="S775" s="3"/>
      <c r="T775" s="3"/>
    </row>
    <row r="776" spans="6:20" ht="13" x14ac:dyDescent="0.15">
      <c r="F776" s="3"/>
      <c r="G776" s="3"/>
      <c r="H776" s="3"/>
      <c r="I776" s="3"/>
      <c r="J776" s="3"/>
      <c r="K776" s="3"/>
      <c r="L776" s="3"/>
      <c r="M776" s="3"/>
      <c r="N776" s="3"/>
      <c r="O776" s="3"/>
      <c r="S776" s="3"/>
      <c r="T776" s="3"/>
    </row>
    <row r="777" spans="6:20" ht="13" x14ac:dyDescent="0.15">
      <c r="F777" s="3"/>
      <c r="G777" s="3"/>
      <c r="H777" s="3"/>
      <c r="I777" s="3"/>
      <c r="J777" s="3"/>
      <c r="K777" s="3"/>
      <c r="L777" s="3"/>
      <c r="M777" s="3"/>
      <c r="N777" s="3"/>
      <c r="O777" s="3"/>
      <c r="S777" s="3"/>
      <c r="T777" s="3"/>
    </row>
    <row r="778" spans="6:20" ht="13" x14ac:dyDescent="0.15">
      <c r="F778" s="3"/>
      <c r="G778" s="3"/>
      <c r="H778" s="3"/>
      <c r="I778" s="3"/>
      <c r="J778" s="3"/>
      <c r="K778" s="3"/>
      <c r="L778" s="3"/>
      <c r="M778" s="3"/>
      <c r="N778" s="3"/>
      <c r="O778" s="3"/>
      <c r="S778" s="3"/>
      <c r="T778" s="3"/>
    </row>
    <row r="779" spans="6:20" ht="13" x14ac:dyDescent="0.15">
      <c r="F779" s="3"/>
      <c r="G779" s="3"/>
      <c r="H779" s="3"/>
      <c r="I779" s="3"/>
      <c r="J779" s="3"/>
      <c r="K779" s="3"/>
      <c r="L779" s="3"/>
      <c r="M779" s="3"/>
      <c r="N779" s="3"/>
      <c r="O779" s="3"/>
      <c r="S779" s="3"/>
      <c r="T779" s="3"/>
    </row>
    <row r="780" spans="6:20" ht="13" x14ac:dyDescent="0.15">
      <c r="F780" s="3"/>
      <c r="G780" s="3"/>
      <c r="H780" s="3"/>
      <c r="I780" s="3"/>
      <c r="J780" s="3"/>
      <c r="K780" s="3"/>
      <c r="L780" s="3"/>
      <c r="M780" s="3"/>
      <c r="N780" s="3"/>
      <c r="O780" s="3"/>
      <c r="S780" s="3"/>
      <c r="T780" s="3"/>
    </row>
    <row r="781" spans="6:20" ht="13" x14ac:dyDescent="0.15">
      <c r="F781" s="3"/>
      <c r="G781" s="3"/>
      <c r="H781" s="3"/>
      <c r="I781" s="3"/>
      <c r="J781" s="3"/>
      <c r="K781" s="3"/>
      <c r="L781" s="3"/>
      <c r="M781" s="3"/>
      <c r="N781" s="3"/>
      <c r="O781" s="3"/>
      <c r="S781" s="3"/>
      <c r="T781" s="3"/>
    </row>
    <row r="782" spans="6:20" ht="13" x14ac:dyDescent="0.15">
      <c r="F782" s="3"/>
      <c r="G782" s="3"/>
      <c r="H782" s="3"/>
      <c r="I782" s="3"/>
      <c r="J782" s="3"/>
      <c r="K782" s="3"/>
      <c r="L782" s="3"/>
      <c r="M782" s="3"/>
      <c r="N782" s="3"/>
      <c r="O782" s="3"/>
      <c r="S782" s="3"/>
      <c r="T782" s="3"/>
    </row>
    <row r="783" spans="6:20" ht="13" x14ac:dyDescent="0.15">
      <c r="F783" s="3"/>
      <c r="G783" s="3"/>
      <c r="H783" s="3"/>
      <c r="I783" s="3"/>
      <c r="J783" s="3"/>
      <c r="K783" s="3"/>
      <c r="L783" s="3"/>
      <c r="M783" s="3"/>
      <c r="N783" s="3"/>
      <c r="O783" s="3"/>
      <c r="S783" s="3"/>
      <c r="T783" s="3"/>
    </row>
    <row r="784" spans="6:20" ht="13" x14ac:dyDescent="0.15">
      <c r="F784" s="3"/>
      <c r="G784" s="3"/>
      <c r="H784" s="3"/>
      <c r="I784" s="3"/>
      <c r="J784" s="3"/>
      <c r="K784" s="3"/>
      <c r="L784" s="3"/>
      <c r="M784" s="3"/>
      <c r="N784" s="3"/>
      <c r="O784" s="3"/>
      <c r="S784" s="3"/>
      <c r="T784" s="3"/>
    </row>
    <row r="785" spans="6:20" ht="13" x14ac:dyDescent="0.15">
      <c r="F785" s="3"/>
      <c r="G785" s="3"/>
      <c r="H785" s="3"/>
      <c r="I785" s="3"/>
      <c r="J785" s="3"/>
      <c r="K785" s="3"/>
      <c r="L785" s="3"/>
      <c r="M785" s="3"/>
      <c r="N785" s="3"/>
      <c r="O785" s="3"/>
      <c r="S785" s="3"/>
      <c r="T785" s="3"/>
    </row>
    <row r="786" spans="6:20" ht="13" x14ac:dyDescent="0.15">
      <c r="F786" s="3"/>
      <c r="G786" s="3"/>
      <c r="H786" s="3"/>
      <c r="I786" s="3"/>
      <c r="J786" s="3"/>
      <c r="K786" s="3"/>
      <c r="L786" s="3"/>
      <c r="M786" s="3"/>
      <c r="N786" s="3"/>
      <c r="O786" s="3"/>
      <c r="S786" s="3"/>
      <c r="T786" s="3"/>
    </row>
    <row r="787" spans="6:20" ht="13" x14ac:dyDescent="0.15">
      <c r="F787" s="3"/>
      <c r="G787" s="3"/>
      <c r="H787" s="3"/>
      <c r="I787" s="3"/>
      <c r="J787" s="3"/>
      <c r="K787" s="3"/>
      <c r="L787" s="3"/>
      <c r="M787" s="3"/>
      <c r="N787" s="3"/>
      <c r="O787" s="3"/>
      <c r="S787" s="3"/>
      <c r="T787" s="3"/>
    </row>
    <row r="788" spans="6:20" ht="13" x14ac:dyDescent="0.15">
      <c r="F788" s="3"/>
      <c r="G788" s="3"/>
      <c r="H788" s="3"/>
      <c r="I788" s="3"/>
      <c r="J788" s="3"/>
      <c r="K788" s="3"/>
      <c r="L788" s="3"/>
      <c r="M788" s="3"/>
      <c r="N788" s="3"/>
      <c r="O788" s="3"/>
      <c r="S788" s="3"/>
      <c r="T788" s="3"/>
    </row>
    <row r="789" spans="6:20" ht="13" x14ac:dyDescent="0.15">
      <c r="F789" s="3"/>
      <c r="G789" s="3"/>
      <c r="H789" s="3"/>
      <c r="I789" s="3"/>
      <c r="J789" s="3"/>
      <c r="K789" s="3"/>
      <c r="L789" s="3"/>
      <c r="M789" s="3"/>
      <c r="N789" s="3"/>
      <c r="O789" s="3"/>
      <c r="S789" s="3"/>
      <c r="T789" s="3"/>
    </row>
    <row r="790" spans="6:20" ht="13" x14ac:dyDescent="0.15">
      <c r="F790" s="3"/>
      <c r="G790" s="3"/>
      <c r="H790" s="3"/>
      <c r="I790" s="3"/>
      <c r="J790" s="3"/>
      <c r="K790" s="3"/>
      <c r="L790" s="3"/>
      <c r="M790" s="3"/>
      <c r="N790" s="3"/>
      <c r="O790" s="3"/>
      <c r="S790" s="3"/>
      <c r="T790" s="3"/>
    </row>
    <row r="791" spans="6:20" ht="13" x14ac:dyDescent="0.15">
      <c r="F791" s="3"/>
      <c r="G791" s="3"/>
      <c r="H791" s="3"/>
      <c r="I791" s="3"/>
      <c r="J791" s="3"/>
      <c r="K791" s="3"/>
      <c r="L791" s="3"/>
      <c r="M791" s="3"/>
      <c r="N791" s="3"/>
      <c r="O791" s="3"/>
      <c r="S791" s="3"/>
      <c r="T791" s="3"/>
    </row>
    <row r="792" spans="6:20" ht="13" x14ac:dyDescent="0.15">
      <c r="F792" s="3"/>
      <c r="G792" s="3"/>
      <c r="H792" s="3"/>
      <c r="I792" s="3"/>
      <c r="J792" s="3"/>
      <c r="K792" s="3"/>
      <c r="L792" s="3"/>
      <c r="M792" s="3"/>
      <c r="N792" s="3"/>
      <c r="O792" s="3"/>
      <c r="S792" s="3"/>
      <c r="T792" s="3"/>
    </row>
    <row r="793" spans="6:20" ht="13" x14ac:dyDescent="0.15">
      <c r="F793" s="3"/>
      <c r="G793" s="3"/>
      <c r="H793" s="3"/>
      <c r="I793" s="3"/>
      <c r="J793" s="3"/>
      <c r="K793" s="3"/>
      <c r="L793" s="3"/>
      <c r="M793" s="3"/>
      <c r="N793" s="3"/>
      <c r="O793" s="3"/>
      <c r="S793" s="3"/>
      <c r="T793" s="3"/>
    </row>
    <row r="794" spans="6:20" ht="13" x14ac:dyDescent="0.15">
      <c r="F794" s="3"/>
      <c r="G794" s="3"/>
      <c r="H794" s="3"/>
      <c r="I794" s="3"/>
      <c r="J794" s="3"/>
      <c r="K794" s="3"/>
      <c r="L794" s="3"/>
      <c r="M794" s="3"/>
      <c r="N794" s="3"/>
      <c r="O794" s="3"/>
      <c r="S794" s="3"/>
      <c r="T794" s="3"/>
    </row>
    <row r="795" spans="6:20" ht="13" x14ac:dyDescent="0.15">
      <c r="F795" s="3"/>
      <c r="G795" s="3"/>
      <c r="H795" s="3"/>
      <c r="I795" s="3"/>
      <c r="J795" s="3"/>
      <c r="K795" s="3"/>
      <c r="L795" s="3"/>
      <c r="M795" s="3"/>
      <c r="N795" s="3"/>
      <c r="O795" s="3"/>
      <c r="S795" s="3"/>
      <c r="T795" s="3"/>
    </row>
    <row r="796" spans="6:20" ht="13" x14ac:dyDescent="0.15">
      <c r="F796" s="3"/>
      <c r="G796" s="3"/>
      <c r="H796" s="3"/>
      <c r="I796" s="3"/>
      <c r="J796" s="3"/>
      <c r="K796" s="3"/>
      <c r="L796" s="3"/>
      <c r="M796" s="3"/>
      <c r="N796" s="3"/>
      <c r="O796" s="3"/>
      <c r="S796" s="3"/>
      <c r="T796" s="3"/>
    </row>
    <row r="797" spans="6:20" ht="13" x14ac:dyDescent="0.15">
      <c r="F797" s="3"/>
      <c r="G797" s="3"/>
      <c r="H797" s="3"/>
      <c r="I797" s="3"/>
      <c r="J797" s="3"/>
      <c r="K797" s="3"/>
      <c r="L797" s="3"/>
      <c r="M797" s="3"/>
      <c r="N797" s="3"/>
      <c r="O797" s="3"/>
      <c r="S797" s="3"/>
      <c r="T797" s="3"/>
    </row>
    <row r="798" spans="6:20" ht="13" x14ac:dyDescent="0.15">
      <c r="F798" s="3"/>
      <c r="G798" s="3"/>
      <c r="H798" s="3"/>
      <c r="I798" s="3"/>
      <c r="J798" s="3"/>
      <c r="K798" s="3"/>
      <c r="L798" s="3"/>
      <c r="M798" s="3"/>
      <c r="N798" s="3"/>
      <c r="O798" s="3"/>
      <c r="S798" s="3"/>
      <c r="T798" s="3"/>
    </row>
    <row r="799" spans="6:20" ht="13" x14ac:dyDescent="0.15">
      <c r="F799" s="3"/>
      <c r="G799" s="3"/>
      <c r="H799" s="3"/>
      <c r="I799" s="3"/>
      <c r="J799" s="3"/>
      <c r="K799" s="3"/>
      <c r="L799" s="3"/>
      <c r="M799" s="3"/>
      <c r="N799" s="3"/>
      <c r="O799" s="3"/>
      <c r="S799" s="3"/>
      <c r="T799" s="3"/>
    </row>
    <row r="800" spans="6:20" ht="13" x14ac:dyDescent="0.15">
      <c r="F800" s="3"/>
      <c r="G800" s="3"/>
      <c r="H800" s="3"/>
      <c r="I800" s="3"/>
      <c r="J800" s="3"/>
      <c r="K800" s="3"/>
      <c r="L800" s="3"/>
      <c r="M800" s="3"/>
      <c r="N800" s="3"/>
      <c r="O800" s="3"/>
      <c r="S800" s="3"/>
      <c r="T800" s="3"/>
    </row>
    <row r="801" spans="6:20" ht="13" x14ac:dyDescent="0.15">
      <c r="F801" s="3"/>
      <c r="G801" s="3"/>
      <c r="H801" s="3"/>
      <c r="I801" s="3"/>
      <c r="J801" s="3"/>
      <c r="K801" s="3"/>
      <c r="L801" s="3"/>
      <c r="M801" s="3"/>
      <c r="N801" s="3"/>
      <c r="O801" s="3"/>
      <c r="S801" s="3"/>
      <c r="T801" s="3"/>
    </row>
    <row r="802" spans="6:20" ht="13" x14ac:dyDescent="0.15">
      <c r="F802" s="3"/>
      <c r="G802" s="3"/>
      <c r="H802" s="3"/>
      <c r="I802" s="3"/>
      <c r="J802" s="3"/>
      <c r="K802" s="3"/>
      <c r="L802" s="3"/>
      <c r="M802" s="3"/>
      <c r="N802" s="3"/>
      <c r="O802" s="3"/>
      <c r="S802" s="3"/>
      <c r="T802" s="3"/>
    </row>
    <row r="803" spans="6:20" ht="13" x14ac:dyDescent="0.15">
      <c r="F803" s="3"/>
      <c r="G803" s="3"/>
      <c r="H803" s="3"/>
      <c r="I803" s="3"/>
      <c r="J803" s="3"/>
      <c r="K803" s="3"/>
      <c r="L803" s="3"/>
      <c r="M803" s="3"/>
      <c r="N803" s="3"/>
      <c r="O803" s="3"/>
      <c r="S803" s="3"/>
      <c r="T803" s="3"/>
    </row>
    <row r="804" spans="6:20" ht="13" x14ac:dyDescent="0.15">
      <c r="F804" s="3"/>
      <c r="G804" s="3"/>
      <c r="H804" s="3"/>
      <c r="I804" s="3"/>
      <c r="J804" s="3"/>
      <c r="K804" s="3"/>
      <c r="L804" s="3"/>
      <c r="M804" s="3"/>
      <c r="N804" s="3"/>
      <c r="O804" s="3"/>
      <c r="S804" s="3"/>
      <c r="T804" s="3"/>
    </row>
    <row r="805" spans="6:20" ht="13" x14ac:dyDescent="0.15">
      <c r="F805" s="3"/>
      <c r="G805" s="3"/>
      <c r="H805" s="3"/>
      <c r="I805" s="3"/>
      <c r="J805" s="3"/>
      <c r="K805" s="3"/>
      <c r="L805" s="3"/>
      <c r="M805" s="3"/>
      <c r="N805" s="3"/>
      <c r="O805" s="3"/>
      <c r="S805" s="3"/>
      <c r="T805" s="3"/>
    </row>
    <row r="806" spans="6:20" ht="13" x14ac:dyDescent="0.15">
      <c r="F806" s="3"/>
      <c r="G806" s="3"/>
      <c r="H806" s="3"/>
      <c r="I806" s="3"/>
      <c r="J806" s="3"/>
      <c r="K806" s="3"/>
      <c r="L806" s="3"/>
      <c r="M806" s="3"/>
      <c r="N806" s="3"/>
      <c r="O806" s="3"/>
      <c r="S806" s="3"/>
      <c r="T806" s="3"/>
    </row>
    <row r="807" spans="6:20" ht="13" x14ac:dyDescent="0.15">
      <c r="F807" s="3"/>
      <c r="G807" s="3"/>
      <c r="H807" s="3"/>
      <c r="I807" s="3"/>
      <c r="J807" s="3"/>
      <c r="K807" s="3"/>
      <c r="L807" s="3"/>
      <c r="M807" s="3"/>
      <c r="N807" s="3"/>
      <c r="O807" s="3"/>
      <c r="S807" s="3"/>
      <c r="T807" s="3"/>
    </row>
    <row r="808" spans="6:20" ht="13" x14ac:dyDescent="0.15">
      <c r="F808" s="3"/>
      <c r="G808" s="3"/>
      <c r="H808" s="3"/>
      <c r="I808" s="3"/>
      <c r="J808" s="3"/>
      <c r="K808" s="3"/>
      <c r="L808" s="3"/>
      <c r="M808" s="3"/>
      <c r="N808" s="3"/>
      <c r="O808" s="3"/>
      <c r="S808" s="3"/>
      <c r="T808" s="3"/>
    </row>
    <row r="809" spans="6:20" ht="13" x14ac:dyDescent="0.15">
      <c r="F809" s="3"/>
      <c r="G809" s="3"/>
      <c r="H809" s="3"/>
      <c r="I809" s="3"/>
      <c r="J809" s="3"/>
      <c r="K809" s="3"/>
      <c r="L809" s="3"/>
      <c r="M809" s="3"/>
      <c r="N809" s="3"/>
      <c r="O809" s="3"/>
      <c r="S809" s="3"/>
      <c r="T809" s="3"/>
    </row>
    <row r="810" spans="6:20" ht="13" x14ac:dyDescent="0.15">
      <c r="F810" s="3"/>
      <c r="G810" s="3"/>
      <c r="H810" s="3"/>
      <c r="I810" s="3"/>
      <c r="J810" s="3"/>
      <c r="K810" s="3"/>
      <c r="L810" s="3"/>
      <c r="M810" s="3"/>
      <c r="N810" s="3"/>
      <c r="O810" s="3"/>
      <c r="S810" s="3"/>
      <c r="T810" s="3"/>
    </row>
    <row r="811" spans="6:20" ht="13" x14ac:dyDescent="0.15">
      <c r="F811" s="3"/>
      <c r="G811" s="3"/>
      <c r="H811" s="3"/>
      <c r="I811" s="3"/>
      <c r="J811" s="3"/>
      <c r="K811" s="3"/>
      <c r="L811" s="3"/>
      <c r="M811" s="3"/>
      <c r="N811" s="3"/>
      <c r="O811" s="3"/>
      <c r="S811" s="3"/>
      <c r="T811" s="3"/>
    </row>
    <row r="812" spans="6:20" ht="13" x14ac:dyDescent="0.15">
      <c r="F812" s="3"/>
      <c r="G812" s="3"/>
      <c r="H812" s="3"/>
      <c r="I812" s="3"/>
      <c r="J812" s="3"/>
      <c r="K812" s="3"/>
      <c r="L812" s="3"/>
      <c r="M812" s="3"/>
      <c r="N812" s="3"/>
      <c r="O812" s="3"/>
      <c r="S812" s="3"/>
      <c r="T812" s="3"/>
    </row>
    <row r="813" spans="6:20" ht="13" x14ac:dyDescent="0.15">
      <c r="F813" s="3"/>
      <c r="G813" s="3"/>
      <c r="H813" s="3"/>
      <c r="I813" s="3"/>
      <c r="J813" s="3"/>
      <c r="K813" s="3"/>
      <c r="L813" s="3"/>
      <c r="M813" s="3"/>
      <c r="N813" s="3"/>
      <c r="O813" s="3"/>
      <c r="S813" s="3"/>
      <c r="T813" s="3"/>
    </row>
    <row r="814" spans="6:20" ht="13" x14ac:dyDescent="0.15">
      <c r="F814" s="3"/>
      <c r="G814" s="3"/>
      <c r="H814" s="3"/>
      <c r="I814" s="3"/>
      <c r="J814" s="3"/>
      <c r="K814" s="3"/>
      <c r="L814" s="3"/>
      <c r="M814" s="3"/>
      <c r="N814" s="3"/>
      <c r="O814" s="3"/>
      <c r="S814" s="3"/>
      <c r="T814" s="3"/>
    </row>
    <row r="815" spans="6:20" ht="13" x14ac:dyDescent="0.15">
      <c r="F815" s="3"/>
      <c r="G815" s="3"/>
      <c r="H815" s="3"/>
      <c r="I815" s="3"/>
      <c r="J815" s="3"/>
      <c r="K815" s="3"/>
      <c r="L815" s="3"/>
      <c r="M815" s="3"/>
      <c r="N815" s="3"/>
      <c r="O815" s="3"/>
      <c r="S815" s="3"/>
      <c r="T815" s="3"/>
    </row>
    <row r="816" spans="6:20" ht="13" x14ac:dyDescent="0.15">
      <c r="F816" s="3"/>
      <c r="G816" s="3"/>
      <c r="H816" s="3"/>
      <c r="I816" s="3"/>
      <c r="J816" s="3"/>
      <c r="K816" s="3"/>
      <c r="L816" s="3"/>
      <c r="M816" s="3"/>
      <c r="N816" s="3"/>
      <c r="O816" s="3"/>
      <c r="S816" s="3"/>
      <c r="T816" s="3"/>
    </row>
    <row r="817" spans="6:20" ht="13" x14ac:dyDescent="0.15">
      <c r="F817" s="3"/>
      <c r="G817" s="3"/>
      <c r="H817" s="3"/>
      <c r="I817" s="3"/>
      <c r="J817" s="3"/>
      <c r="K817" s="3"/>
      <c r="L817" s="3"/>
      <c r="M817" s="3"/>
      <c r="N817" s="3"/>
      <c r="O817" s="3"/>
      <c r="S817" s="3"/>
      <c r="T817" s="3"/>
    </row>
    <row r="818" spans="6:20" ht="13" x14ac:dyDescent="0.15">
      <c r="F818" s="3"/>
      <c r="G818" s="3"/>
      <c r="H818" s="3"/>
      <c r="I818" s="3"/>
      <c r="J818" s="3"/>
      <c r="K818" s="3"/>
      <c r="L818" s="3"/>
      <c r="M818" s="3"/>
      <c r="N818" s="3"/>
      <c r="O818" s="3"/>
      <c r="S818" s="3"/>
      <c r="T818" s="3"/>
    </row>
    <row r="819" spans="6:20" ht="13" x14ac:dyDescent="0.15">
      <c r="F819" s="3"/>
      <c r="G819" s="3"/>
      <c r="H819" s="3"/>
      <c r="I819" s="3"/>
      <c r="J819" s="3"/>
      <c r="K819" s="3"/>
      <c r="L819" s="3"/>
      <c r="M819" s="3"/>
      <c r="N819" s="3"/>
      <c r="O819" s="3"/>
      <c r="S819" s="3"/>
      <c r="T819" s="3"/>
    </row>
    <row r="820" spans="6:20" ht="13" x14ac:dyDescent="0.15">
      <c r="F820" s="3"/>
      <c r="G820" s="3"/>
      <c r="H820" s="3"/>
      <c r="I820" s="3"/>
      <c r="J820" s="3"/>
      <c r="K820" s="3"/>
      <c r="L820" s="3"/>
      <c r="M820" s="3"/>
      <c r="N820" s="3"/>
      <c r="O820" s="3"/>
      <c r="S820" s="3"/>
      <c r="T820" s="3"/>
    </row>
    <row r="821" spans="6:20" ht="13" x14ac:dyDescent="0.15">
      <c r="F821" s="3"/>
      <c r="G821" s="3"/>
      <c r="H821" s="3"/>
      <c r="I821" s="3"/>
      <c r="J821" s="3"/>
      <c r="K821" s="3"/>
      <c r="L821" s="3"/>
      <c r="M821" s="3"/>
      <c r="N821" s="3"/>
      <c r="O821" s="3"/>
      <c r="S821" s="3"/>
      <c r="T821" s="3"/>
    </row>
    <row r="822" spans="6:20" ht="13" x14ac:dyDescent="0.15">
      <c r="F822" s="3"/>
      <c r="G822" s="3"/>
      <c r="H822" s="3"/>
      <c r="I822" s="3"/>
      <c r="J822" s="3"/>
      <c r="K822" s="3"/>
      <c r="L822" s="3"/>
      <c r="M822" s="3"/>
      <c r="N822" s="3"/>
      <c r="O822" s="3"/>
      <c r="S822" s="3"/>
      <c r="T822" s="3"/>
    </row>
    <row r="823" spans="6:20" ht="13" x14ac:dyDescent="0.15">
      <c r="F823" s="3"/>
      <c r="G823" s="3"/>
      <c r="H823" s="3"/>
      <c r="I823" s="3"/>
      <c r="J823" s="3"/>
      <c r="K823" s="3"/>
      <c r="L823" s="3"/>
      <c r="M823" s="3"/>
      <c r="N823" s="3"/>
      <c r="O823" s="3"/>
      <c r="S823" s="3"/>
      <c r="T823" s="3"/>
    </row>
    <row r="824" spans="6:20" ht="13" x14ac:dyDescent="0.15">
      <c r="F824" s="3"/>
      <c r="G824" s="3"/>
      <c r="H824" s="3"/>
      <c r="I824" s="3"/>
      <c r="J824" s="3"/>
      <c r="K824" s="3"/>
      <c r="L824" s="3"/>
      <c r="M824" s="3"/>
      <c r="N824" s="3"/>
      <c r="O824" s="3"/>
      <c r="S824" s="3"/>
      <c r="T824" s="3"/>
    </row>
    <row r="825" spans="6:20" ht="13" x14ac:dyDescent="0.15">
      <c r="F825" s="3"/>
      <c r="G825" s="3"/>
      <c r="H825" s="3"/>
      <c r="I825" s="3"/>
      <c r="J825" s="3"/>
      <c r="K825" s="3"/>
      <c r="L825" s="3"/>
      <c r="M825" s="3"/>
      <c r="N825" s="3"/>
      <c r="O825" s="3"/>
      <c r="S825" s="3"/>
      <c r="T825" s="3"/>
    </row>
    <row r="826" spans="6:20" ht="13" x14ac:dyDescent="0.15">
      <c r="F826" s="3"/>
      <c r="G826" s="3"/>
      <c r="H826" s="3"/>
      <c r="I826" s="3"/>
      <c r="J826" s="3"/>
      <c r="K826" s="3"/>
      <c r="L826" s="3"/>
      <c r="M826" s="3"/>
      <c r="N826" s="3"/>
      <c r="O826" s="3"/>
      <c r="S826" s="3"/>
      <c r="T826" s="3"/>
    </row>
    <row r="827" spans="6:20" ht="13" x14ac:dyDescent="0.15">
      <c r="F827" s="3"/>
      <c r="G827" s="3"/>
      <c r="H827" s="3"/>
      <c r="I827" s="3"/>
      <c r="J827" s="3"/>
      <c r="K827" s="3"/>
      <c r="L827" s="3"/>
      <c r="M827" s="3"/>
      <c r="N827" s="3"/>
      <c r="O827" s="3"/>
      <c r="S827" s="3"/>
      <c r="T827" s="3"/>
    </row>
    <row r="828" spans="6:20" ht="13" x14ac:dyDescent="0.15">
      <c r="F828" s="3"/>
      <c r="G828" s="3"/>
      <c r="H828" s="3"/>
      <c r="I828" s="3"/>
      <c r="J828" s="3"/>
      <c r="K828" s="3"/>
      <c r="L828" s="3"/>
      <c r="M828" s="3"/>
      <c r="N828" s="3"/>
      <c r="O828" s="3"/>
      <c r="S828" s="3"/>
      <c r="T828" s="3"/>
    </row>
    <row r="829" spans="6:20" ht="13" x14ac:dyDescent="0.15">
      <c r="F829" s="3"/>
      <c r="G829" s="3"/>
      <c r="H829" s="3"/>
      <c r="I829" s="3"/>
      <c r="J829" s="3"/>
      <c r="K829" s="3"/>
      <c r="L829" s="3"/>
      <c r="M829" s="3"/>
      <c r="N829" s="3"/>
      <c r="O829" s="3"/>
      <c r="S829" s="3"/>
      <c r="T829" s="3"/>
    </row>
    <row r="830" spans="6:20" ht="13" x14ac:dyDescent="0.15">
      <c r="F830" s="3"/>
      <c r="G830" s="3"/>
      <c r="H830" s="3"/>
      <c r="I830" s="3"/>
      <c r="J830" s="3"/>
      <c r="K830" s="3"/>
      <c r="L830" s="3"/>
      <c r="M830" s="3"/>
      <c r="N830" s="3"/>
      <c r="O830" s="3"/>
      <c r="S830" s="3"/>
      <c r="T830" s="3"/>
    </row>
    <row r="831" spans="6:20" ht="13" x14ac:dyDescent="0.15">
      <c r="F831" s="3"/>
      <c r="G831" s="3"/>
      <c r="H831" s="3"/>
      <c r="I831" s="3"/>
      <c r="J831" s="3"/>
      <c r="K831" s="3"/>
      <c r="L831" s="3"/>
      <c r="M831" s="3"/>
      <c r="N831" s="3"/>
      <c r="O831" s="3"/>
      <c r="S831" s="3"/>
      <c r="T831" s="3"/>
    </row>
    <row r="832" spans="6:20" ht="13" x14ac:dyDescent="0.15">
      <c r="F832" s="3"/>
      <c r="G832" s="3"/>
      <c r="H832" s="3"/>
      <c r="I832" s="3"/>
      <c r="J832" s="3"/>
      <c r="K832" s="3"/>
      <c r="L832" s="3"/>
      <c r="M832" s="3"/>
      <c r="N832" s="3"/>
      <c r="O832" s="3"/>
      <c r="S832" s="3"/>
      <c r="T832" s="3"/>
    </row>
    <row r="833" spans="6:20" ht="13" x14ac:dyDescent="0.15">
      <c r="F833" s="3"/>
      <c r="G833" s="3"/>
      <c r="H833" s="3"/>
      <c r="I833" s="3"/>
      <c r="J833" s="3"/>
      <c r="K833" s="3"/>
      <c r="L833" s="3"/>
      <c r="M833" s="3"/>
      <c r="N833" s="3"/>
      <c r="O833" s="3"/>
      <c r="S833" s="3"/>
      <c r="T833" s="3"/>
    </row>
    <row r="834" spans="6:20" ht="13" x14ac:dyDescent="0.15">
      <c r="F834" s="3"/>
      <c r="G834" s="3"/>
      <c r="H834" s="3"/>
      <c r="I834" s="3"/>
      <c r="J834" s="3"/>
      <c r="K834" s="3"/>
      <c r="L834" s="3"/>
      <c r="M834" s="3"/>
      <c r="N834" s="3"/>
      <c r="O834" s="3"/>
      <c r="S834" s="3"/>
      <c r="T834" s="3"/>
    </row>
    <row r="835" spans="6:20" ht="13" x14ac:dyDescent="0.15">
      <c r="F835" s="3"/>
      <c r="G835" s="3"/>
      <c r="H835" s="3"/>
      <c r="I835" s="3"/>
      <c r="J835" s="3"/>
      <c r="K835" s="3"/>
      <c r="L835" s="3"/>
      <c r="M835" s="3"/>
      <c r="N835" s="3"/>
      <c r="O835" s="3"/>
      <c r="S835" s="3"/>
      <c r="T835" s="3"/>
    </row>
    <row r="836" spans="6:20" ht="13" x14ac:dyDescent="0.15">
      <c r="F836" s="3"/>
      <c r="G836" s="3"/>
      <c r="H836" s="3"/>
      <c r="I836" s="3"/>
      <c r="J836" s="3"/>
      <c r="K836" s="3"/>
      <c r="L836" s="3"/>
      <c r="M836" s="3"/>
      <c r="N836" s="3"/>
      <c r="O836" s="3"/>
      <c r="S836" s="3"/>
      <c r="T836" s="3"/>
    </row>
    <row r="837" spans="6:20" ht="13" x14ac:dyDescent="0.15">
      <c r="F837" s="3"/>
      <c r="G837" s="3"/>
      <c r="H837" s="3"/>
      <c r="I837" s="3"/>
      <c r="J837" s="3"/>
      <c r="K837" s="3"/>
      <c r="L837" s="3"/>
      <c r="M837" s="3"/>
      <c r="N837" s="3"/>
      <c r="O837" s="3"/>
      <c r="S837" s="3"/>
      <c r="T837" s="3"/>
    </row>
    <row r="838" spans="6:20" ht="13" x14ac:dyDescent="0.15">
      <c r="F838" s="3"/>
      <c r="G838" s="3"/>
      <c r="H838" s="3"/>
      <c r="I838" s="3"/>
      <c r="J838" s="3"/>
      <c r="K838" s="3"/>
      <c r="L838" s="3"/>
      <c r="M838" s="3"/>
      <c r="N838" s="3"/>
      <c r="O838" s="3"/>
      <c r="S838" s="3"/>
      <c r="T838" s="3"/>
    </row>
    <row r="839" spans="6:20" ht="13" x14ac:dyDescent="0.15">
      <c r="F839" s="3"/>
      <c r="G839" s="3"/>
      <c r="H839" s="3"/>
      <c r="I839" s="3"/>
      <c r="J839" s="3"/>
      <c r="K839" s="3"/>
      <c r="L839" s="3"/>
      <c r="M839" s="3"/>
      <c r="N839" s="3"/>
      <c r="O839" s="3"/>
      <c r="S839" s="3"/>
      <c r="T839" s="3"/>
    </row>
    <row r="840" spans="6:20" ht="13" x14ac:dyDescent="0.15">
      <c r="F840" s="3"/>
      <c r="G840" s="3"/>
      <c r="H840" s="3"/>
      <c r="I840" s="3"/>
      <c r="J840" s="3"/>
      <c r="K840" s="3"/>
      <c r="L840" s="3"/>
      <c r="M840" s="3"/>
      <c r="N840" s="3"/>
      <c r="O840" s="3"/>
      <c r="S840" s="3"/>
      <c r="T840" s="3"/>
    </row>
    <row r="841" spans="6:20" ht="13" x14ac:dyDescent="0.15">
      <c r="F841" s="3"/>
      <c r="G841" s="3"/>
      <c r="H841" s="3"/>
      <c r="I841" s="3"/>
      <c r="J841" s="3"/>
      <c r="K841" s="3"/>
      <c r="L841" s="3"/>
      <c r="M841" s="3"/>
      <c r="N841" s="3"/>
      <c r="O841" s="3"/>
      <c r="S841" s="3"/>
      <c r="T841" s="3"/>
    </row>
    <row r="842" spans="6:20" ht="13" x14ac:dyDescent="0.15">
      <c r="F842" s="3"/>
      <c r="G842" s="3"/>
      <c r="H842" s="3"/>
      <c r="I842" s="3"/>
      <c r="J842" s="3"/>
      <c r="K842" s="3"/>
      <c r="L842" s="3"/>
      <c r="M842" s="3"/>
      <c r="N842" s="3"/>
      <c r="O842" s="3"/>
      <c r="S842" s="3"/>
      <c r="T842" s="3"/>
    </row>
    <row r="843" spans="6:20" ht="13" x14ac:dyDescent="0.15">
      <c r="F843" s="3"/>
      <c r="G843" s="3"/>
      <c r="H843" s="3"/>
      <c r="I843" s="3"/>
      <c r="J843" s="3"/>
      <c r="K843" s="3"/>
      <c r="L843" s="3"/>
      <c r="M843" s="3"/>
      <c r="N843" s="3"/>
      <c r="O843" s="3"/>
      <c r="S843" s="3"/>
      <c r="T843" s="3"/>
    </row>
    <row r="844" spans="6:20" ht="13" x14ac:dyDescent="0.15">
      <c r="F844" s="3"/>
      <c r="G844" s="3"/>
      <c r="H844" s="3"/>
      <c r="I844" s="3"/>
      <c r="J844" s="3"/>
      <c r="K844" s="3"/>
      <c r="L844" s="3"/>
      <c r="M844" s="3"/>
      <c r="N844" s="3"/>
      <c r="O844" s="3"/>
      <c r="S844" s="3"/>
      <c r="T844" s="3"/>
    </row>
    <row r="845" spans="6:20" ht="13" x14ac:dyDescent="0.15">
      <c r="F845" s="3"/>
      <c r="G845" s="3"/>
      <c r="H845" s="3"/>
      <c r="I845" s="3"/>
      <c r="J845" s="3"/>
      <c r="K845" s="3"/>
      <c r="L845" s="3"/>
      <c r="M845" s="3"/>
      <c r="N845" s="3"/>
      <c r="O845" s="3"/>
      <c r="S845" s="3"/>
      <c r="T845" s="3"/>
    </row>
    <row r="846" spans="6:20" ht="13" x14ac:dyDescent="0.15">
      <c r="F846" s="3"/>
      <c r="G846" s="3"/>
      <c r="H846" s="3"/>
      <c r="I846" s="3"/>
      <c r="J846" s="3"/>
      <c r="K846" s="3"/>
      <c r="L846" s="3"/>
      <c r="M846" s="3"/>
      <c r="N846" s="3"/>
      <c r="O846" s="3"/>
      <c r="S846" s="3"/>
      <c r="T846" s="3"/>
    </row>
    <row r="847" spans="6:20" ht="13" x14ac:dyDescent="0.15">
      <c r="F847" s="3"/>
      <c r="G847" s="3"/>
      <c r="H847" s="3"/>
      <c r="I847" s="3"/>
      <c r="J847" s="3"/>
      <c r="K847" s="3"/>
      <c r="L847" s="3"/>
      <c r="M847" s="3"/>
      <c r="N847" s="3"/>
      <c r="O847" s="3"/>
      <c r="S847" s="3"/>
      <c r="T847" s="3"/>
    </row>
    <row r="848" spans="6:20" ht="13" x14ac:dyDescent="0.15">
      <c r="F848" s="3"/>
      <c r="G848" s="3"/>
      <c r="H848" s="3"/>
      <c r="I848" s="3"/>
      <c r="J848" s="3"/>
      <c r="K848" s="3"/>
      <c r="L848" s="3"/>
      <c r="M848" s="3"/>
      <c r="N848" s="3"/>
      <c r="O848" s="3"/>
      <c r="S848" s="3"/>
      <c r="T848" s="3"/>
    </row>
    <row r="849" spans="6:20" ht="13" x14ac:dyDescent="0.15">
      <c r="F849" s="3"/>
      <c r="G849" s="3"/>
      <c r="H849" s="3"/>
      <c r="I849" s="3"/>
      <c r="J849" s="3"/>
      <c r="K849" s="3"/>
      <c r="L849" s="3"/>
      <c r="M849" s="3"/>
      <c r="N849" s="3"/>
      <c r="O849" s="3"/>
      <c r="S849" s="3"/>
      <c r="T849" s="3"/>
    </row>
    <row r="850" spans="6:20" ht="13" x14ac:dyDescent="0.15">
      <c r="F850" s="3"/>
      <c r="G850" s="3"/>
      <c r="H850" s="3"/>
      <c r="I850" s="3"/>
      <c r="J850" s="3"/>
      <c r="K850" s="3"/>
      <c r="L850" s="3"/>
      <c r="M850" s="3"/>
      <c r="N850" s="3"/>
      <c r="O850" s="3"/>
      <c r="S850" s="3"/>
      <c r="T850" s="3"/>
    </row>
    <row r="851" spans="6:20" ht="13" x14ac:dyDescent="0.15">
      <c r="F851" s="3"/>
      <c r="G851" s="3"/>
      <c r="H851" s="3"/>
      <c r="I851" s="3"/>
      <c r="J851" s="3"/>
      <c r="K851" s="3"/>
      <c r="L851" s="3"/>
      <c r="M851" s="3"/>
      <c r="N851" s="3"/>
      <c r="O851" s="3"/>
      <c r="S851" s="3"/>
      <c r="T851" s="3"/>
    </row>
    <row r="852" spans="6:20" ht="13" x14ac:dyDescent="0.15">
      <c r="F852" s="3"/>
      <c r="G852" s="3"/>
      <c r="H852" s="3"/>
      <c r="I852" s="3"/>
      <c r="J852" s="3"/>
      <c r="K852" s="3"/>
      <c r="L852" s="3"/>
      <c r="M852" s="3"/>
      <c r="N852" s="3"/>
      <c r="O852" s="3"/>
      <c r="S852" s="3"/>
      <c r="T852" s="3"/>
    </row>
    <row r="853" spans="6:20" ht="13" x14ac:dyDescent="0.15">
      <c r="F853" s="3"/>
      <c r="G853" s="3"/>
      <c r="H853" s="3"/>
      <c r="I853" s="3"/>
      <c r="J853" s="3"/>
      <c r="K853" s="3"/>
      <c r="L853" s="3"/>
      <c r="M853" s="3"/>
      <c r="N853" s="3"/>
      <c r="O853" s="3"/>
      <c r="S853" s="3"/>
      <c r="T853" s="3"/>
    </row>
    <row r="854" spans="6:20" ht="13" x14ac:dyDescent="0.15">
      <c r="F854" s="3"/>
      <c r="G854" s="3"/>
      <c r="H854" s="3"/>
      <c r="I854" s="3"/>
      <c r="J854" s="3"/>
      <c r="K854" s="3"/>
      <c r="L854" s="3"/>
      <c r="M854" s="3"/>
      <c r="N854" s="3"/>
      <c r="O854" s="3"/>
      <c r="S854" s="3"/>
      <c r="T854" s="3"/>
    </row>
    <row r="855" spans="6:20" ht="13" x14ac:dyDescent="0.15">
      <c r="F855" s="3"/>
      <c r="G855" s="3"/>
      <c r="H855" s="3"/>
      <c r="I855" s="3"/>
      <c r="J855" s="3"/>
      <c r="K855" s="3"/>
      <c r="L855" s="3"/>
      <c r="M855" s="3"/>
      <c r="N855" s="3"/>
      <c r="O855" s="3"/>
      <c r="S855" s="3"/>
      <c r="T855" s="3"/>
    </row>
    <row r="856" spans="6:20" ht="13" x14ac:dyDescent="0.15">
      <c r="F856" s="3"/>
      <c r="G856" s="3"/>
      <c r="H856" s="3"/>
      <c r="I856" s="3"/>
      <c r="J856" s="3"/>
      <c r="K856" s="3"/>
      <c r="L856" s="3"/>
      <c r="M856" s="3"/>
      <c r="N856" s="3"/>
      <c r="O856" s="3"/>
      <c r="S856" s="3"/>
      <c r="T856" s="3"/>
    </row>
    <row r="857" spans="6:20" ht="13" x14ac:dyDescent="0.15">
      <c r="F857" s="3"/>
      <c r="G857" s="3"/>
      <c r="H857" s="3"/>
      <c r="I857" s="3"/>
      <c r="J857" s="3"/>
      <c r="K857" s="3"/>
      <c r="L857" s="3"/>
      <c r="M857" s="3"/>
      <c r="N857" s="3"/>
      <c r="O857" s="3"/>
      <c r="S857" s="3"/>
      <c r="T857" s="3"/>
    </row>
    <row r="858" spans="6:20" ht="13" x14ac:dyDescent="0.15">
      <c r="F858" s="3"/>
      <c r="G858" s="3"/>
      <c r="H858" s="3"/>
      <c r="I858" s="3"/>
      <c r="J858" s="3"/>
      <c r="K858" s="3"/>
      <c r="L858" s="3"/>
      <c r="M858" s="3"/>
      <c r="N858" s="3"/>
      <c r="O858" s="3"/>
      <c r="S858" s="3"/>
      <c r="T858" s="3"/>
    </row>
    <row r="859" spans="6:20" ht="13" x14ac:dyDescent="0.15">
      <c r="F859" s="3"/>
      <c r="G859" s="3"/>
      <c r="H859" s="3"/>
      <c r="I859" s="3"/>
      <c r="J859" s="3"/>
      <c r="K859" s="3"/>
      <c r="L859" s="3"/>
      <c r="M859" s="3"/>
      <c r="N859" s="3"/>
      <c r="O859" s="3"/>
      <c r="S859" s="3"/>
      <c r="T859" s="3"/>
    </row>
    <row r="860" spans="6:20" ht="13" x14ac:dyDescent="0.15">
      <c r="F860" s="3"/>
      <c r="G860" s="3"/>
      <c r="H860" s="3"/>
      <c r="I860" s="3"/>
      <c r="J860" s="3"/>
      <c r="K860" s="3"/>
      <c r="L860" s="3"/>
      <c r="M860" s="3"/>
      <c r="N860" s="3"/>
      <c r="O860" s="3"/>
      <c r="S860" s="3"/>
      <c r="T860" s="3"/>
    </row>
    <row r="861" spans="6:20" ht="13" x14ac:dyDescent="0.15">
      <c r="F861" s="3"/>
      <c r="G861" s="3"/>
      <c r="H861" s="3"/>
      <c r="I861" s="3"/>
      <c r="J861" s="3"/>
      <c r="K861" s="3"/>
      <c r="L861" s="3"/>
      <c r="M861" s="3"/>
      <c r="N861" s="3"/>
      <c r="O861" s="3"/>
      <c r="S861" s="3"/>
      <c r="T861" s="3"/>
    </row>
    <row r="862" spans="6:20" ht="13" x14ac:dyDescent="0.15">
      <c r="F862" s="3"/>
      <c r="G862" s="3"/>
      <c r="H862" s="3"/>
      <c r="I862" s="3"/>
      <c r="J862" s="3"/>
      <c r="K862" s="3"/>
      <c r="L862" s="3"/>
      <c r="M862" s="3"/>
      <c r="N862" s="3"/>
      <c r="O862" s="3"/>
      <c r="S862" s="3"/>
      <c r="T862" s="3"/>
    </row>
    <row r="863" spans="6:20" ht="13" x14ac:dyDescent="0.15">
      <c r="F863" s="3"/>
      <c r="G863" s="3"/>
      <c r="H863" s="3"/>
      <c r="I863" s="3"/>
      <c r="J863" s="3"/>
      <c r="K863" s="3"/>
      <c r="L863" s="3"/>
      <c r="M863" s="3"/>
      <c r="N863" s="3"/>
      <c r="O863" s="3"/>
      <c r="S863" s="3"/>
      <c r="T863" s="3"/>
    </row>
    <row r="864" spans="6:20" ht="13" x14ac:dyDescent="0.15">
      <c r="F864" s="3"/>
      <c r="G864" s="3"/>
      <c r="H864" s="3"/>
      <c r="I864" s="3"/>
      <c r="J864" s="3"/>
      <c r="K864" s="3"/>
      <c r="L864" s="3"/>
      <c r="M864" s="3"/>
      <c r="N864" s="3"/>
      <c r="O864" s="3"/>
      <c r="S864" s="3"/>
      <c r="T864" s="3"/>
    </row>
    <row r="865" spans="6:20" ht="13" x14ac:dyDescent="0.15">
      <c r="F865" s="3"/>
      <c r="G865" s="3"/>
      <c r="H865" s="3"/>
      <c r="I865" s="3"/>
      <c r="J865" s="3"/>
      <c r="K865" s="3"/>
      <c r="L865" s="3"/>
      <c r="M865" s="3"/>
      <c r="N865" s="3"/>
      <c r="O865" s="3"/>
      <c r="S865" s="3"/>
      <c r="T865" s="3"/>
    </row>
    <row r="866" spans="6:20" ht="13" x14ac:dyDescent="0.15">
      <c r="F866" s="3"/>
      <c r="G866" s="3"/>
      <c r="H866" s="3"/>
      <c r="I866" s="3"/>
      <c r="J866" s="3"/>
      <c r="K866" s="3"/>
      <c r="L866" s="3"/>
      <c r="M866" s="3"/>
      <c r="N866" s="3"/>
      <c r="O866" s="3"/>
      <c r="S866" s="3"/>
      <c r="T866" s="3"/>
    </row>
    <row r="867" spans="6:20" ht="13" x14ac:dyDescent="0.15">
      <c r="F867" s="3"/>
      <c r="G867" s="3"/>
      <c r="H867" s="3"/>
      <c r="I867" s="3"/>
      <c r="J867" s="3"/>
      <c r="K867" s="3"/>
      <c r="L867" s="3"/>
      <c r="M867" s="3"/>
      <c r="N867" s="3"/>
      <c r="O867" s="3"/>
      <c r="S867" s="3"/>
      <c r="T867" s="3"/>
    </row>
    <row r="868" spans="6:20" ht="13" x14ac:dyDescent="0.15">
      <c r="F868" s="3"/>
      <c r="G868" s="3"/>
      <c r="H868" s="3"/>
      <c r="I868" s="3"/>
      <c r="J868" s="3"/>
      <c r="K868" s="3"/>
      <c r="L868" s="3"/>
      <c r="M868" s="3"/>
      <c r="N868" s="3"/>
      <c r="O868" s="3"/>
      <c r="S868" s="3"/>
      <c r="T868" s="3"/>
    </row>
    <row r="869" spans="6:20" ht="13" x14ac:dyDescent="0.15">
      <c r="F869" s="3"/>
      <c r="G869" s="3"/>
      <c r="H869" s="3"/>
      <c r="I869" s="3"/>
      <c r="J869" s="3"/>
      <c r="K869" s="3"/>
      <c r="L869" s="3"/>
      <c r="M869" s="3"/>
      <c r="N869" s="3"/>
      <c r="O869" s="3"/>
      <c r="S869" s="3"/>
      <c r="T869" s="3"/>
    </row>
    <row r="870" spans="6:20" ht="13" x14ac:dyDescent="0.15">
      <c r="F870" s="3"/>
      <c r="G870" s="3"/>
      <c r="H870" s="3"/>
      <c r="I870" s="3"/>
      <c r="J870" s="3"/>
      <c r="K870" s="3"/>
      <c r="L870" s="3"/>
      <c r="M870" s="3"/>
      <c r="N870" s="3"/>
      <c r="O870" s="3"/>
      <c r="S870" s="3"/>
      <c r="T870" s="3"/>
    </row>
    <row r="871" spans="6:20" ht="13" x14ac:dyDescent="0.15">
      <c r="F871" s="3"/>
      <c r="G871" s="3"/>
      <c r="H871" s="3"/>
      <c r="I871" s="3"/>
      <c r="J871" s="3"/>
      <c r="K871" s="3"/>
      <c r="L871" s="3"/>
      <c r="M871" s="3"/>
      <c r="N871" s="3"/>
      <c r="O871" s="3"/>
      <c r="S871" s="3"/>
      <c r="T871" s="3"/>
    </row>
    <row r="872" spans="6:20" ht="13" x14ac:dyDescent="0.15">
      <c r="F872" s="3"/>
      <c r="G872" s="3"/>
      <c r="H872" s="3"/>
      <c r="I872" s="3"/>
      <c r="J872" s="3"/>
      <c r="K872" s="3"/>
      <c r="L872" s="3"/>
      <c r="M872" s="3"/>
      <c r="N872" s="3"/>
      <c r="O872" s="3"/>
      <c r="S872" s="3"/>
      <c r="T872" s="3"/>
    </row>
    <row r="873" spans="6:20" ht="13" x14ac:dyDescent="0.15">
      <c r="F873" s="3"/>
      <c r="G873" s="3"/>
      <c r="H873" s="3"/>
      <c r="I873" s="3"/>
      <c r="J873" s="3"/>
      <c r="K873" s="3"/>
      <c r="L873" s="3"/>
      <c r="M873" s="3"/>
      <c r="N873" s="3"/>
      <c r="O873" s="3"/>
      <c r="S873" s="3"/>
      <c r="T873" s="3"/>
    </row>
    <row r="874" spans="6:20" ht="13" x14ac:dyDescent="0.15">
      <c r="F874" s="3"/>
      <c r="G874" s="3"/>
      <c r="H874" s="3"/>
      <c r="I874" s="3"/>
      <c r="J874" s="3"/>
      <c r="K874" s="3"/>
      <c r="L874" s="3"/>
      <c r="M874" s="3"/>
      <c r="N874" s="3"/>
      <c r="O874" s="3"/>
      <c r="S874" s="3"/>
      <c r="T874" s="3"/>
    </row>
    <row r="875" spans="6:20" ht="13" x14ac:dyDescent="0.15">
      <c r="F875" s="3"/>
      <c r="G875" s="3"/>
      <c r="H875" s="3"/>
      <c r="I875" s="3"/>
      <c r="J875" s="3"/>
      <c r="K875" s="3"/>
      <c r="L875" s="3"/>
      <c r="M875" s="3"/>
      <c r="N875" s="3"/>
      <c r="O875" s="3"/>
      <c r="S875" s="3"/>
      <c r="T875" s="3"/>
    </row>
    <row r="876" spans="6:20" ht="13" x14ac:dyDescent="0.15">
      <c r="F876" s="3"/>
      <c r="G876" s="3"/>
      <c r="H876" s="3"/>
      <c r="I876" s="3"/>
      <c r="J876" s="3"/>
      <c r="K876" s="3"/>
      <c r="L876" s="3"/>
      <c r="M876" s="3"/>
      <c r="N876" s="3"/>
      <c r="O876" s="3"/>
      <c r="S876" s="3"/>
      <c r="T876" s="3"/>
    </row>
    <row r="877" spans="6:20" ht="13" x14ac:dyDescent="0.15">
      <c r="F877" s="3"/>
      <c r="G877" s="3"/>
      <c r="H877" s="3"/>
      <c r="I877" s="3"/>
      <c r="J877" s="3"/>
      <c r="K877" s="3"/>
      <c r="L877" s="3"/>
      <c r="M877" s="3"/>
      <c r="N877" s="3"/>
      <c r="O877" s="3"/>
      <c r="S877" s="3"/>
      <c r="T877" s="3"/>
    </row>
    <row r="878" spans="6:20" ht="13" x14ac:dyDescent="0.15">
      <c r="F878" s="3"/>
      <c r="G878" s="3"/>
      <c r="H878" s="3"/>
      <c r="I878" s="3"/>
      <c r="J878" s="3"/>
      <c r="K878" s="3"/>
      <c r="L878" s="3"/>
      <c r="M878" s="3"/>
      <c r="N878" s="3"/>
      <c r="O878" s="3"/>
      <c r="S878" s="3"/>
      <c r="T878" s="3"/>
    </row>
    <row r="879" spans="6:20" ht="13" x14ac:dyDescent="0.15">
      <c r="F879" s="3"/>
      <c r="G879" s="3"/>
      <c r="H879" s="3"/>
      <c r="I879" s="3"/>
      <c r="J879" s="3"/>
      <c r="K879" s="3"/>
      <c r="L879" s="3"/>
      <c r="M879" s="3"/>
      <c r="N879" s="3"/>
      <c r="O879" s="3"/>
      <c r="S879" s="3"/>
      <c r="T879" s="3"/>
    </row>
    <row r="880" spans="6:20" ht="13" x14ac:dyDescent="0.15">
      <c r="F880" s="3"/>
      <c r="G880" s="3"/>
      <c r="H880" s="3"/>
      <c r="I880" s="3"/>
      <c r="J880" s="3"/>
      <c r="K880" s="3"/>
      <c r="L880" s="3"/>
      <c r="M880" s="3"/>
      <c r="N880" s="3"/>
      <c r="O880" s="3"/>
      <c r="S880" s="3"/>
      <c r="T880" s="3"/>
    </row>
    <row r="881" spans="6:20" ht="13" x14ac:dyDescent="0.15">
      <c r="F881" s="3"/>
      <c r="G881" s="3"/>
      <c r="H881" s="3"/>
      <c r="I881" s="3"/>
      <c r="J881" s="3"/>
      <c r="K881" s="3"/>
      <c r="L881" s="3"/>
      <c r="M881" s="3"/>
      <c r="N881" s="3"/>
      <c r="O881" s="3"/>
      <c r="S881" s="3"/>
      <c r="T881" s="3"/>
    </row>
    <row r="882" spans="6:20" ht="13" x14ac:dyDescent="0.15">
      <c r="F882" s="3"/>
      <c r="G882" s="3"/>
      <c r="H882" s="3"/>
      <c r="I882" s="3"/>
      <c r="J882" s="3"/>
      <c r="K882" s="3"/>
      <c r="L882" s="3"/>
      <c r="M882" s="3"/>
      <c r="N882" s="3"/>
      <c r="O882" s="3"/>
      <c r="S882" s="3"/>
      <c r="T882" s="3"/>
    </row>
    <row r="883" spans="6:20" ht="13" x14ac:dyDescent="0.15">
      <c r="F883" s="3"/>
      <c r="G883" s="3"/>
      <c r="H883" s="3"/>
      <c r="I883" s="3"/>
      <c r="J883" s="3"/>
      <c r="K883" s="3"/>
      <c r="L883" s="3"/>
      <c r="M883" s="3"/>
      <c r="N883" s="3"/>
      <c r="O883" s="3"/>
      <c r="S883" s="3"/>
      <c r="T883" s="3"/>
    </row>
    <row r="884" spans="6:20" ht="13" x14ac:dyDescent="0.15">
      <c r="F884" s="3"/>
      <c r="G884" s="3"/>
      <c r="H884" s="3"/>
      <c r="I884" s="3"/>
      <c r="J884" s="3"/>
      <c r="K884" s="3"/>
      <c r="L884" s="3"/>
      <c r="M884" s="3"/>
      <c r="N884" s="3"/>
      <c r="O884" s="3"/>
      <c r="S884" s="3"/>
      <c r="T884" s="3"/>
    </row>
    <row r="885" spans="6:20" ht="13" x14ac:dyDescent="0.15">
      <c r="F885" s="3"/>
      <c r="G885" s="3"/>
      <c r="H885" s="3"/>
      <c r="I885" s="3"/>
      <c r="J885" s="3"/>
      <c r="K885" s="3"/>
      <c r="L885" s="3"/>
      <c r="M885" s="3"/>
      <c r="N885" s="3"/>
      <c r="O885" s="3"/>
      <c r="S885" s="3"/>
      <c r="T885" s="3"/>
    </row>
    <row r="886" spans="6:20" ht="13" x14ac:dyDescent="0.15">
      <c r="F886" s="3"/>
      <c r="G886" s="3"/>
      <c r="H886" s="3"/>
      <c r="I886" s="3"/>
      <c r="J886" s="3"/>
      <c r="K886" s="3"/>
      <c r="L886" s="3"/>
      <c r="M886" s="3"/>
      <c r="N886" s="3"/>
      <c r="O886" s="3"/>
      <c r="S886" s="3"/>
      <c r="T886" s="3"/>
    </row>
    <row r="887" spans="6:20" ht="13" x14ac:dyDescent="0.15">
      <c r="F887" s="3"/>
      <c r="G887" s="3"/>
      <c r="H887" s="3"/>
      <c r="I887" s="3"/>
      <c r="J887" s="3"/>
      <c r="K887" s="3"/>
      <c r="L887" s="3"/>
      <c r="M887" s="3"/>
      <c r="N887" s="3"/>
      <c r="O887" s="3"/>
      <c r="S887" s="3"/>
      <c r="T887" s="3"/>
    </row>
    <row r="888" spans="6:20" ht="13" x14ac:dyDescent="0.15">
      <c r="F888" s="3"/>
      <c r="G888" s="3"/>
      <c r="H888" s="3"/>
      <c r="I888" s="3"/>
      <c r="J888" s="3"/>
      <c r="K888" s="3"/>
      <c r="L888" s="3"/>
      <c r="M888" s="3"/>
      <c r="N888" s="3"/>
      <c r="O888" s="3"/>
      <c r="S888" s="3"/>
      <c r="T888" s="3"/>
    </row>
    <row r="889" spans="6:20" ht="13" x14ac:dyDescent="0.15">
      <c r="F889" s="3"/>
      <c r="G889" s="3"/>
      <c r="H889" s="3"/>
      <c r="I889" s="3"/>
      <c r="J889" s="3"/>
      <c r="K889" s="3"/>
      <c r="L889" s="3"/>
      <c r="M889" s="3"/>
      <c r="N889" s="3"/>
      <c r="O889" s="3"/>
      <c r="S889" s="3"/>
      <c r="T889" s="3"/>
    </row>
    <row r="890" spans="6:20" ht="13" x14ac:dyDescent="0.15">
      <c r="F890" s="3"/>
      <c r="G890" s="3"/>
      <c r="H890" s="3"/>
      <c r="I890" s="3"/>
      <c r="J890" s="3"/>
      <c r="K890" s="3"/>
      <c r="L890" s="3"/>
      <c r="M890" s="3"/>
      <c r="N890" s="3"/>
      <c r="O890" s="3"/>
      <c r="S890" s="3"/>
      <c r="T890" s="3"/>
    </row>
    <row r="891" spans="6:20" ht="13" x14ac:dyDescent="0.15">
      <c r="F891" s="3"/>
      <c r="G891" s="3"/>
      <c r="H891" s="3"/>
      <c r="I891" s="3"/>
      <c r="J891" s="3"/>
      <c r="K891" s="3"/>
      <c r="L891" s="3"/>
      <c r="M891" s="3"/>
      <c r="N891" s="3"/>
      <c r="O891" s="3"/>
      <c r="S891" s="3"/>
      <c r="T891" s="3"/>
    </row>
    <row r="892" spans="6:20" ht="13" x14ac:dyDescent="0.15">
      <c r="F892" s="3"/>
      <c r="G892" s="3"/>
      <c r="H892" s="3"/>
      <c r="I892" s="3"/>
      <c r="J892" s="3"/>
      <c r="K892" s="3"/>
      <c r="L892" s="3"/>
      <c r="M892" s="3"/>
      <c r="N892" s="3"/>
      <c r="O892" s="3"/>
      <c r="S892" s="3"/>
      <c r="T892" s="3"/>
    </row>
    <row r="893" spans="6:20" ht="13" x14ac:dyDescent="0.15">
      <c r="F893" s="3"/>
      <c r="G893" s="3"/>
      <c r="H893" s="3"/>
      <c r="I893" s="3"/>
      <c r="J893" s="3"/>
      <c r="K893" s="3"/>
      <c r="L893" s="3"/>
      <c r="M893" s="3"/>
      <c r="N893" s="3"/>
      <c r="O893" s="3"/>
      <c r="S893" s="3"/>
      <c r="T893" s="3"/>
    </row>
    <row r="894" spans="6:20" ht="13" x14ac:dyDescent="0.15">
      <c r="F894" s="3"/>
      <c r="G894" s="3"/>
      <c r="H894" s="3"/>
      <c r="I894" s="3"/>
      <c r="J894" s="3"/>
      <c r="K894" s="3"/>
      <c r="L894" s="3"/>
      <c r="M894" s="3"/>
      <c r="N894" s="3"/>
      <c r="O894" s="3"/>
      <c r="S894" s="3"/>
      <c r="T894" s="3"/>
    </row>
    <row r="895" spans="6:20" ht="13" x14ac:dyDescent="0.15">
      <c r="F895" s="3"/>
      <c r="G895" s="3"/>
      <c r="H895" s="3"/>
      <c r="I895" s="3"/>
      <c r="J895" s="3"/>
      <c r="K895" s="3"/>
      <c r="L895" s="3"/>
      <c r="M895" s="3"/>
      <c r="N895" s="3"/>
      <c r="O895" s="3"/>
      <c r="S895" s="3"/>
      <c r="T895" s="3"/>
    </row>
    <row r="896" spans="6:20" ht="13" x14ac:dyDescent="0.15">
      <c r="F896" s="3"/>
      <c r="G896" s="3"/>
      <c r="H896" s="3"/>
      <c r="I896" s="3"/>
      <c r="J896" s="3"/>
      <c r="K896" s="3"/>
      <c r="L896" s="3"/>
      <c r="M896" s="3"/>
      <c r="N896" s="3"/>
      <c r="O896" s="3"/>
      <c r="S896" s="3"/>
      <c r="T896" s="3"/>
    </row>
    <row r="897" spans="6:20" ht="13" x14ac:dyDescent="0.15">
      <c r="F897" s="3"/>
      <c r="G897" s="3"/>
      <c r="H897" s="3"/>
      <c r="I897" s="3"/>
      <c r="J897" s="3"/>
      <c r="K897" s="3"/>
      <c r="L897" s="3"/>
      <c r="M897" s="3"/>
      <c r="N897" s="3"/>
      <c r="O897" s="3"/>
      <c r="S897" s="3"/>
      <c r="T897" s="3"/>
    </row>
    <row r="898" spans="6:20" ht="13" x14ac:dyDescent="0.15">
      <c r="F898" s="3"/>
      <c r="G898" s="3"/>
      <c r="H898" s="3"/>
      <c r="I898" s="3"/>
      <c r="J898" s="3"/>
      <c r="K898" s="3"/>
      <c r="L898" s="3"/>
      <c r="M898" s="3"/>
      <c r="N898" s="3"/>
      <c r="O898" s="3"/>
      <c r="S898" s="3"/>
      <c r="T898" s="3"/>
    </row>
    <row r="899" spans="6:20" ht="13" x14ac:dyDescent="0.15">
      <c r="F899" s="3"/>
      <c r="G899" s="3"/>
      <c r="H899" s="3"/>
      <c r="I899" s="3"/>
      <c r="J899" s="3"/>
      <c r="K899" s="3"/>
      <c r="L899" s="3"/>
      <c r="M899" s="3"/>
      <c r="N899" s="3"/>
      <c r="O899" s="3"/>
      <c r="S899" s="3"/>
      <c r="T899" s="3"/>
    </row>
    <row r="900" spans="6:20" ht="13" x14ac:dyDescent="0.15">
      <c r="F900" s="3"/>
      <c r="G900" s="3"/>
      <c r="H900" s="3"/>
      <c r="I900" s="3"/>
      <c r="J900" s="3"/>
      <c r="K900" s="3"/>
      <c r="L900" s="3"/>
      <c r="M900" s="3"/>
      <c r="N900" s="3"/>
      <c r="O900" s="3"/>
      <c r="S900" s="3"/>
      <c r="T900" s="3"/>
    </row>
    <row r="901" spans="6:20" ht="13" x14ac:dyDescent="0.15">
      <c r="F901" s="3"/>
      <c r="G901" s="3"/>
      <c r="H901" s="3"/>
      <c r="I901" s="3"/>
      <c r="J901" s="3"/>
      <c r="K901" s="3"/>
      <c r="L901" s="3"/>
      <c r="M901" s="3"/>
      <c r="N901" s="3"/>
      <c r="O901" s="3"/>
      <c r="S901" s="3"/>
      <c r="T901" s="3"/>
    </row>
    <row r="902" spans="6:20" ht="13" x14ac:dyDescent="0.15">
      <c r="F902" s="3"/>
      <c r="G902" s="3"/>
      <c r="H902" s="3"/>
      <c r="I902" s="3"/>
      <c r="J902" s="3"/>
      <c r="K902" s="3"/>
      <c r="L902" s="3"/>
      <c r="M902" s="3"/>
      <c r="N902" s="3"/>
      <c r="O902" s="3"/>
      <c r="S902" s="3"/>
      <c r="T902" s="3"/>
    </row>
    <row r="903" spans="6:20" ht="13" x14ac:dyDescent="0.15">
      <c r="F903" s="3"/>
      <c r="G903" s="3"/>
      <c r="H903" s="3"/>
      <c r="I903" s="3"/>
      <c r="J903" s="3"/>
      <c r="K903" s="3"/>
      <c r="L903" s="3"/>
      <c r="M903" s="3"/>
      <c r="N903" s="3"/>
      <c r="O903" s="3"/>
      <c r="S903" s="3"/>
      <c r="T903" s="3"/>
    </row>
    <row r="904" spans="6:20" ht="13" x14ac:dyDescent="0.15">
      <c r="F904" s="3"/>
      <c r="G904" s="3"/>
      <c r="H904" s="3"/>
      <c r="I904" s="3"/>
      <c r="J904" s="3"/>
      <c r="K904" s="3"/>
      <c r="L904" s="3"/>
      <c r="M904" s="3"/>
      <c r="N904" s="3"/>
      <c r="O904" s="3"/>
      <c r="S904" s="3"/>
      <c r="T904" s="3"/>
    </row>
    <row r="905" spans="6:20" ht="13" x14ac:dyDescent="0.15">
      <c r="F905" s="3"/>
      <c r="G905" s="3"/>
      <c r="H905" s="3"/>
      <c r="I905" s="3"/>
      <c r="J905" s="3"/>
      <c r="K905" s="3"/>
      <c r="L905" s="3"/>
      <c r="M905" s="3"/>
      <c r="N905" s="3"/>
      <c r="O905" s="3"/>
      <c r="S905" s="3"/>
      <c r="T905" s="3"/>
    </row>
    <row r="906" spans="6:20" ht="13" x14ac:dyDescent="0.15">
      <c r="F906" s="3"/>
      <c r="G906" s="3"/>
      <c r="H906" s="3"/>
      <c r="I906" s="3"/>
      <c r="J906" s="3"/>
      <c r="K906" s="3"/>
      <c r="L906" s="3"/>
      <c r="M906" s="3"/>
      <c r="N906" s="3"/>
      <c r="O906" s="3"/>
      <c r="S906" s="3"/>
      <c r="T906" s="3"/>
    </row>
    <row r="907" spans="6:20" ht="13" x14ac:dyDescent="0.15">
      <c r="F907" s="3"/>
      <c r="G907" s="3"/>
      <c r="H907" s="3"/>
      <c r="I907" s="3"/>
      <c r="J907" s="3"/>
      <c r="K907" s="3"/>
      <c r="L907" s="3"/>
      <c r="M907" s="3"/>
      <c r="N907" s="3"/>
      <c r="O907" s="3"/>
      <c r="S907" s="3"/>
      <c r="T907" s="3"/>
    </row>
    <row r="908" spans="6:20" ht="13" x14ac:dyDescent="0.15">
      <c r="F908" s="3"/>
      <c r="G908" s="3"/>
      <c r="H908" s="3"/>
      <c r="I908" s="3"/>
      <c r="J908" s="3"/>
      <c r="K908" s="3"/>
      <c r="L908" s="3"/>
      <c r="M908" s="3"/>
      <c r="N908" s="3"/>
      <c r="O908" s="3"/>
      <c r="S908" s="3"/>
      <c r="T908" s="3"/>
    </row>
    <row r="909" spans="6:20" ht="13" x14ac:dyDescent="0.15">
      <c r="F909" s="3"/>
      <c r="G909" s="3"/>
      <c r="H909" s="3"/>
      <c r="I909" s="3"/>
      <c r="J909" s="3"/>
      <c r="K909" s="3"/>
      <c r="L909" s="3"/>
      <c r="M909" s="3"/>
      <c r="N909" s="3"/>
      <c r="O909" s="3"/>
      <c r="S909" s="3"/>
      <c r="T909" s="3"/>
    </row>
    <row r="910" spans="6:20" ht="13" x14ac:dyDescent="0.15">
      <c r="F910" s="3"/>
      <c r="G910" s="3"/>
      <c r="H910" s="3"/>
      <c r="I910" s="3"/>
      <c r="J910" s="3"/>
      <c r="K910" s="3"/>
      <c r="L910" s="3"/>
      <c r="M910" s="3"/>
      <c r="N910" s="3"/>
      <c r="O910" s="3"/>
      <c r="S910" s="3"/>
      <c r="T910" s="3"/>
    </row>
    <row r="911" spans="6:20" ht="13" x14ac:dyDescent="0.15">
      <c r="F911" s="3"/>
      <c r="G911" s="3"/>
      <c r="H911" s="3"/>
      <c r="I911" s="3"/>
      <c r="J911" s="3"/>
      <c r="K911" s="3"/>
      <c r="L911" s="3"/>
      <c r="M911" s="3"/>
      <c r="N911" s="3"/>
      <c r="O911" s="3"/>
      <c r="S911" s="3"/>
      <c r="T911" s="3"/>
    </row>
    <row r="912" spans="6:20" ht="13" x14ac:dyDescent="0.15">
      <c r="F912" s="3"/>
      <c r="G912" s="3"/>
      <c r="H912" s="3"/>
      <c r="I912" s="3"/>
      <c r="J912" s="3"/>
      <c r="K912" s="3"/>
      <c r="L912" s="3"/>
      <c r="M912" s="3"/>
      <c r="N912" s="3"/>
      <c r="O912" s="3"/>
      <c r="S912" s="3"/>
      <c r="T912" s="3"/>
    </row>
    <row r="913" spans="6:20" ht="13" x14ac:dyDescent="0.15">
      <c r="F913" s="3"/>
      <c r="G913" s="3"/>
      <c r="H913" s="3"/>
      <c r="I913" s="3"/>
      <c r="J913" s="3"/>
      <c r="K913" s="3"/>
      <c r="L913" s="3"/>
      <c r="M913" s="3"/>
      <c r="N913" s="3"/>
      <c r="O913" s="3"/>
      <c r="S913" s="3"/>
      <c r="T913" s="3"/>
    </row>
    <row r="914" spans="6:20" ht="13" x14ac:dyDescent="0.15">
      <c r="F914" s="3"/>
      <c r="G914" s="3"/>
      <c r="H914" s="3"/>
      <c r="I914" s="3"/>
      <c r="J914" s="3"/>
      <c r="K914" s="3"/>
      <c r="L914" s="3"/>
      <c r="M914" s="3"/>
      <c r="N914" s="3"/>
      <c r="O914" s="3"/>
      <c r="S914" s="3"/>
      <c r="T914" s="3"/>
    </row>
    <row r="915" spans="6:20" ht="13" x14ac:dyDescent="0.15">
      <c r="F915" s="3"/>
      <c r="G915" s="3"/>
      <c r="H915" s="3"/>
      <c r="I915" s="3"/>
      <c r="J915" s="3"/>
      <c r="K915" s="3"/>
      <c r="L915" s="3"/>
      <c r="M915" s="3"/>
      <c r="N915" s="3"/>
      <c r="O915" s="3"/>
      <c r="S915" s="3"/>
      <c r="T915" s="3"/>
    </row>
    <row r="916" spans="6:20" ht="13" x14ac:dyDescent="0.15">
      <c r="F916" s="3"/>
      <c r="G916" s="3"/>
      <c r="H916" s="3"/>
      <c r="I916" s="3"/>
      <c r="J916" s="3"/>
      <c r="K916" s="3"/>
      <c r="L916" s="3"/>
      <c r="M916" s="3"/>
      <c r="N916" s="3"/>
      <c r="O916" s="3"/>
      <c r="S916" s="3"/>
      <c r="T916" s="3"/>
    </row>
    <row r="917" spans="6:20" ht="13" x14ac:dyDescent="0.15">
      <c r="F917" s="3"/>
      <c r="G917" s="3"/>
      <c r="H917" s="3"/>
      <c r="I917" s="3"/>
      <c r="J917" s="3"/>
      <c r="K917" s="3"/>
      <c r="L917" s="3"/>
      <c r="M917" s="3"/>
      <c r="N917" s="3"/>
      <c r="O917" s="3"/>
      <c r="S917" s="3"/>
      <c r="T917" s="3"/>
    </row>
    <row r="918" spans="6:20" ht="13" x14ac:dyDescent="0.15">
      <c r="F918" s="3"/>
      <c r="G918" s="3"/>
      <c r="H918" s="3"/>
      <c r="I918" s="3"/>
      <c r="J918" s="3"/>
      <c r="K918" s="3"/>
      <c r="L918" s="3"/>
      <c r="M918" s="3"/>
      <c r="N918" s="3"/>
      <c r="O918" s="3"/>
      <c r="S918" s="3"/>
      <c r="T918" s="3"/>
    </row>
    <row r="919" spans="6:20" ht="13" x14ac:dyDescent="0.15">
      <c r="F919" s="3"/>
      <c r="G919" s="3"/>
      <c r="H919" s="3"/>
      <c r="I919" s="3"/>
      <c r="J919" s="3"/>
      <c r="K919" s="3"/>
      <c r="L919" s="3"/>
      <c r="M919" s="3"/>
      <c r="N919" s="3"/>
      <c r="O919" s="3"/>
      <c r="S919" s="3"/>
      <c r="T919" s="3"/>
    </row>
    <row r="920" spans="6:20" ht="13" x14ac:dyDescent="0.15">
      <c r="F920" s="3"/>
      <c r="G920" s="3"/>
      <c r="H920" s="3"/>
      <c r="I920" s="3"/>
      <c r="J920" s="3"/>
      <c r="K920" s="3"/>
      <c r="L920" s="3"/>
      <c r="M920" s="3"/>
      <c r="N920" s="3"/>
      <c r="O920" s="3"/>
      <c r="S920" s="3"/>
      <c r="T920" s="3"/>
    </row>
    <row r="921" spans="6:20" ht="13" x14ac:dyDescent="0.15">
      <c r="F921" s="3"/>
      <c r="G921" s="3"/>
      <c r="H921" s="3"/>
      <c r="I921" s="3"/>
      <c r="J921" s="3"/>
      <c r="K921" s="3"/>
      <c r="L921" s="3"/>
      <c r="M921" s="3"/>
      <c r="N921" s="3"/>
      <c r="O921" s="3"/>
      <c r="S921" s="3"/>
      <c r="T921" s="3"/>
    </row>
    <row r="922" spans="6:20" ht="13" x14ac:dyDescent="0.15">
      <c r="F922" s="3"/>
      <c r="G922" s="3"/>
      <c r="H922" s="3"/>
      <c r="I922" s="3"/>
      <c r="J922" s="3"/>
      <c r="K922" s="3"/>
      <c r="L922" s="3"/>
      <c r="M922" s="3"/>
      <c r="N922" s="3"/>
      <c r="O922" s="3"/>
      <c r="S922" s="3"/>
      <c r="T922" s="3"/>
    </row>
    <row r="923" spans="6:20" ht="13" x14ac:dyDescent="0.15">
      <c r="F923" s="3"/>
      <c r="G923" s="3"/>
      <c r="H923" s="3"/>
      <c r="I923" s="3"/>
      <c r="J923" s="3"/>
      <c r="K923" s="3"/>
      <c r="L923" s="3"/>
      <c r="M923" s="3"/>
      <c r="N923" s="3"/>
      <c r="O923" s="3"/>
      <c r="S923" s="3"/>
      <c r="T923" s="3"/>
    </row>
    <row r="924" spans="6:20" ht="13" x14ac:dyDescent="0.15">
      <c r="F924" s="3"/>
      <c r="G924" s="3"/>
      <c r="H924" s="3"/>
      <c r="I924" s="3"/>
      <c r="J924" s="3"/>
      <c r="K924" s="3"/>
      <c r="L924" s="3"/>
      <c r="M924" s="3"/>
      <c r="N924" s="3"/>
      <c r="O924" s="3"/>
      <c r="S924" s="3"/>
      <c r="T924" s="3"/>
    </row>
    <row r="925" spans="6:20" ht="13" x14ac:dyDescent="0.15">
      <c r="F925" s="3"/>
      <c r="G925" s="3"/>
      <c r="H925" s="3"/>
      <c r="I925" s="3"/>
      <c r="J925" s="3"/>
      <c r="K925" s="3"/>
      <c r="L925" s="3"/>
      <c r="M925" s="3"/>
      <c r="N925" s="3"/>
      <c r="O925" s="3"/>
      <c r="S925" s="3"/>
      <c r="T925" s="3"/>
    </row>
    <row r="926" spans="6:20" ht="13" x14ac:dyDescent="0.15">
      <c r="F926" s="3"/>
      <c r="G926" s="3"/>
      <c r="H926" s="3"/>
      <c r="I926" s="3"/>
      <c r="J926" s="3"/>
      <c r="K926" s="3"/>
      <c r="L926" s="3"/>
      <c r="M926" s="3"/>
      <c r="N926" s="3"/>
      <c r="O926" s="3"/>
      <c r="S926" s="3"/>
      <c r="T926" s="3"/>
    </row>
    <row r="927" spans="6:20" ht="13" x14ac:dyDescent="0.15">
      <c r="F927" s="3"/>
      <c r="G927" s="3"/>
      <c r="H927" s="3"/>
      <c r="I927" s="3"/>
      <c r="J927" s="3"/>
      <c r="K927" s="3"/>
      <c r="L927" s="3"/>
      <c r="M927" s="3"/>
      <c r="N927" s="3"/>
      <c r="O927" s="3"/>
      <c r="S927" s="3"/>
      <c r="T927" s="3"/>
    </row>
    <row r="928" spans="6:20" ht="13" x14ac:dyDescent="0.15">
      <c r="F928" s="3"/>
      <c r="G928" s="3"/>
      <c r="H928" s="3"/>
      <c r="I928" s="3"/>
      <c r="J928" s="3"/>
      <c r="K928" s="3"/>
      <c r="L928" s="3"/>
      <c r="M928" s="3"/>
      <c r="N928" s="3"/>
      <c r="O928" s="3"/>
      <c r="S928" s="3"/>
      <c r="T928" s="3"/>
    </row>
    <row r="929" spans="6:20" ht="13" x14ac:dyDescent="0.15">
      <c r="F929" s="3"/>
      <c r="G929" s="3"/>
      <c r="H929" s="3"/>
      <c r="I929" s="3"/>
      <c r="J929" s="3"/>
      <c r="K929" s="3"/>
      <c r="L929" s="3"/>
      <c r="M929" s="3"/>
      <c r="N929" s="3"/>
      <c r="O929" s="3"/>
      <c r="S929" s="3"/>
      <c r="T929" s="3"/>
    </row>
    <row r="930" spans="6:20" ht="13" x14ac:dyDescent="0.15">
      <c r="F930" s="3"/>
      <c r="G930" s="3"/>
      <c r="H930" s="3"/>
      <c r="I930" s="3"/>
      <c r="J930" s="3"/>
      <c r="K930" s="3"/>
      <c r="L930" s="3"/>
      <c r="M930" s="3"/>
      <c r="N930" s="3"/>
      <c r="O930" s="3"/>
      <c r="S930" s="3"/>
      <c r="T930" s="3"/>
    </row>
    <row r="931" spans="6:20" ht="13" x14ac:dyDescent="0.15">
      <c r="F931" s="3"/>
      <c r="G931" s="3"/>
      <c r="H931" s="3"/>
      <c r="I931" s="3"/>
      <c r="J931" s="3"/>
      <c r="K931" s="3"/>
      <c r="L931" s="3"/>
      <c r="M931" s="3"/>
      <c r="N931" s="3"/>
      <c r="O931" s="3"/>
      <c r="S931" s="3"/>
      <c r="T931" s="3"/>
    </row>
    <row r="932" spans="6:20" ht="13" x14ac:dyDescent="0.15">
      <c r="F932" s="3"/>
      <c r="G932" s="3"/>
      <c r="H932" s="3"/>
      <c r="I932" s="3"/>
      <c r="J932" s="3"/>
      <c r="K932" s="3"/>
      <c r="L932" s="3"/>
      <c r="M932" s="3"/>
      <c r="N932" s="3"/>
      <c r="O932" s="3"/>
      <c r="S932" s="3"/>
      <c r="T932" s="3"/>
    </row>
    <row r="933" spans="6:20" ht="13" x14ac:dyDescent="0.15">
      <c r="F933" s="3"/>
      <c r="G933" s="3"/>
      <c r="H933" s="3"/>
      <c r="I933" s="3"/>
      <c r="J933" s="3"/>
      <c r="K933" s="3"/>
      <c r="L933" s="3"/>
      <c r="M933" s="3"/>
      <c r="N933" s="3"/>
      <c r="O933" s="3"/>
      <c r="S933" s="3"/>
      <c r="T933" s="3"/>
    </row>
    <row r="934" spans="6:20" ht="13" x14ac:dyDescent="0.15">
      <c r="F934" s="3"/>
      <c r="G934" s="3"/>
      <c r="H934" s="3"/>
      <c r="I934" s="3"/>
      <c r="J934" s="3"/>
      <c r="K934" s="3"/>
      <c r="L934" s="3"/>
      <c r="M934" s="3"/>
      <c r="N934" s="3"/>
      <c r="O934" s="3"/>
      <c r="S934" s="3"/>
      <c r="T934" s="3"/>
    </row>
    <row r="935" spans="6:20" ht="13" x14ac:dyDescent="0.15">
      <c r="F935" s="3"/>
      <c r="G935" s="3"/>
      <c r="H935" s="3"/>
      <c r="I935" s="3"/>
      <c r="J935" s="3"/>
      <c r="K935" s="3"/>
      <c r="L935" s="3"/>
      <c r="M935" s="3"/>
      <c r="N935" s="3"/>
      <c r="O935" s="3"/>
      <c r="S935" s="3"/>
      <c r="T935" s="3"/>
    </row>
    <row r="936" spans="6:20" ht="13" x14ac:dyDescent="0.15">
      <c r="F936" s="3"/>
      <c r="G936" s="3"/>
      <c r="H936" s="3"/>
      <c r="I936" s="3"/>
      <c r="J936" s="3"/>
      <c r="K936" s="3"/>
      <c r="L936" s="3"/>
      <c r="M936" s="3"/>
      <c r="N936" s="3"/>
      <c r="O936" s="3"/>
      <c r="S936" s="3"/>
      <c r="T936" s="3"/>
    </row>
    <row r="937" spans="6:20" ht="13" x14ac:dyDescent="0.15">
      <c r="F937" s="3"/>
      <c r="G937" s="3"/>
      <c r="H937" s="3"/>
      <c r="I937" s="3"/>
      <c r="J937" s="3"/>
      <c r="K937" s="3"/>
      <c r="L937" s="3"/>
      <c r="M937" s="3"/>
      <c r="N937" s="3"/>
      <c r="O937" s="3"/>
      <c r="S937" s="3"/>
      <c r="T937" s="3"/>
    </row>
    <row r="938" spans="6:20" ht="13" x14ac:dyDescent="0.15">
      <c r="F938" s="3"/>
      <c r="G938" s="3"/>
      <c r="H938" s="3"/>
      <c r="I938" s="3"/>
      <c r="J938" s="3"/>
      <c r="K938" s="3"/>
      <c r="L938" s="3"/>
      <c r="M938" s="3"/>
      <c r="N938" s="3"/>
      <c r="O938" s="3"/>
      <c r="S938" s="3"/>
      <c r="T938" s="3"/>
    </row>
    <row r="939" spans="6:20" ht="13" x14ac:dyDescent="0.15">
      <c r="F939" s="3"/>
      <c r="G939" s="3"/>
      <c r="H939" s="3"/>
      <c r="I939" s="3"/>
      <c r="J939" s="3"/>
      <c r="K939" s="3"/>
      <c r="L939" s="3"/>
      <c r="M939" s="3"/>
      <c r="N939" s="3"/>
      <c r="O939" s="3"/>
      <c r="S939" s="3"/>
      <c r="T939" s="3"/>
    </row>
    <row r="940" spans="6:20" ht="13" x14ac:dyDescent="0.15">
      <c r="F940" s="3"/>
      <c r="G940" s="3"/>
      <c r="H940" s="3"/>
      <c r="I940" s="3"/>
      <c r="J940" s="3"/>
      <c r="K940" s="3"/>
      <c r="L940" s="3"/>
      <c r="M940" s="3"/>
      <c r="N940" s="3"/>
      <c r="O940" s="3"/>
      <c r="S940" s="3"/>
      <c r="T940" s="3"/>
    </row>
    <row r="941" spans="6:20" ht="13" x14ac:dyDescent="0.15">
      <c r="F941" s="3"/>
      <c r="G941" s="3"/>
      <c r="H941" s="3"/>
      <c r="I941" s="3"/>
      <c r="J941" s="3"/>
      <c r="K941" s="3"/>
      <c r="L941" s="3"/>
      <c r="M941" s="3"/>
      <c r="N941" s="3"/>
      <c r="O941" s="3"/>
      <c r="S941" s="3"/>
      <c r="T941" s="3"/>
    </row>
    <row r="942" spans="6:20" ht="13" x14ac:dyDescent="0.15">
      <c r="F942" s="3"/>
      <c r="G942" s="3"/>
      <c r="H942" s="3"/>
      <c r="I942" s="3"/>
      <c r="J942" s="3"/>
      <c r="K942" s="3"/>
      <c r="L942" s="3"/>
      <c r="M942" s="3"/>
      <c r="N942" s="3"/>
      <c r="O942" s="3"/>
      <c r="S942" s="3"/>
      <c r="T942" s="3"/>
    </row>
    <row r="943" spans="6:20" ht="13" x14ac:dyDescent="0.15">
      <c r="F943" s="3"/>
      <c r="G943" s="3"/>
      <c r="H943" s="3"/>
      <c r="I943" s="3"/>
      <c r="J943" s="3"/>
      <c r="K943" s="3"/>
      <c r="L943" s="3"/>
      <c r="M943" s="3"/>
      <c r="N943" s="3"/>
      <c r="O943" s="3"/>
      <c r="S943" s="3"/>
      <c r="T943" s="3"/>
    </row>
    <row r="944" spans="6:20" ht="13" x14ac:dyDescent="0.15">
      <c r="F944" s="3"/>
      <c r="G944" s="3"/>
      <c r="H944" s="3"/>
      <c r="I944" s="3"/>
      <c r="J944" s="3"/>
      <c r="K944" s="3"/>
      <c r="L944" s="3"/>
      <c r="M944" s="3"/>
      <c r="N944" s="3"/>
      <c r="O944" s="3"/>
      <c r="S944" s="3"/>
      <c r="T944" s="3"/>
    </row>
    <row r="945" spans="6:20" ht="13" x14ac:dyDescent="0.15">
      <c r="F945" s="3"/>
      <c r="G945" s="3"/>
      <c r="H945" s="3"/>
      <c r="I945" s="3"/>
      <c r="J945" s="3"/>
      <c r="K945" s="3"/>
      <c r="L945" s="3"/>
      <c r="M945" s="3"/>
      <c r="N945" s="3"/>
      <c r="O945" s="3"/>
      <c r="S945" s="3"/>
      <c r="T945" s="3"/>
    </row>
    <row r="946" spans="6:20" ht="13" x14ac:dyDescent="0.15">
      <c r="F946" s="3"/>
      <c r="G946" s="3"/>
      <c r="H946" s="3"/>
      <c r="I946" s="3"/>
      <c r="J946" s="3"/>
      <c r="K946" s="3"/>
      <c r="L946" s="3"/>
      <c r="M946" s="3"/>
      <c r="N946" s="3"/>
      <c r="O946" s="3"/>
      <c r="S946" s="3"/>
      <c r="T946" s="3"/>
    </row>
    <row r="947" spans="6:20" ht="13" x14ac:dyDescent="0.15">
      <c r="F947" s="3"/>
      <c r="G947" s="3"/>
      <c r="H947" s="3"/>
      <c r="I947" s="3"/>
      <c r="J947" s="3"/>
      <c r="K947" s="3"/>
      <c r="L947" s="3"/>
      <c r="M947" s="3"/>
      <c r="N947" s="3"/>
      <c r="O947" s="3"/>
      <c r="S947" s="3"/>
      <c r="T947" s="3"/>
    </row>
    <row r="948" spans="6:20" ht="13" x14ac:dyDescent="0.15">
      <c r="F948" s="3"/>
      <c r="G948" s="3"/>
      <c r="H948" s="3"/>
      <c r="I948" s="3"/>
      <c r="J948" s="3"/>
      <c r="K948" s="3"/>
      <c r="L948" s="3"/>
      <c r="M948" s="3"/>
      <c r="N948" s="3"/>
      <c r="O948" s="3"/>
      <c r="S948" s="3"/>
      <c r="T948" s="3"/>
    </row>
    <row r="949" spans="6:20" ht="13" x14ac:dyDescent="0.15">
      <c r="F949" s="3"/>
      <c r="G949" s="3"/>
      <c r="H949" s="3"/>
      <c r="I949" s="3"/>
      <c r="J949" s="3"/>
      <c r="K949" s="3"/>
      <c r="L949" s="3"/>
      <c r="M949" s="3"/>
      <c r="N949" s="3"/>
      <c r="O949" s="3"/>
      <c r="S949" s="3"/>
      <c r="T949" s="3"/>
    </row>
    <row r="950" spans="6:20" ht="13" x14ac:dyDescent="0.15">
      <c r="F950" s="3"/>
      <c r="G950" s="3"/>
      <c r="H950" s="3"/>
      <c r="I950" s="3"/>
      <c r="J950" s="3"/>
      <c r="K950" s="3"/>
      <c r="L950" s="3"/>
      <c r="M950" s="3"/>
      <c r="N950" s="3"/>
      <c r="O950" s="3"/>
      <c r="S950" s="3"/>
      <c r="T950" s="3"/>
    </row>
    <row r="951" spans="6:20" ht="13" x14ac:dyDescent="0.15">
      <c r="F951" s="3"/>
      <c r="G951" s="3"/>
      <c r="H951" s="3"/>
      <c r="I951" s="3"/>
      <c r="J951" s="3"/>
      <c r="K951" s="3"/>
      <c r="L951" s="3"/>
      <c r="M951" s="3"/>
      <c r="N951" s="3"/>
      <c r="O951" s="3"/>
      <c r="S951" s="3"/>
      <c r="T951" s="3"/>
    </row>
    <row r="952" spans="6:20" ht="13" x14ac:dyDescent="0.15">
      <c r="F952" s="3"/>
      <c r="G952" s="3"/>
      <c r="H952" s="3"/>
      <c r="I952" s="3"/>
      <c r="J952" s="3"/>
      <c r="K952" s="3"/>
      <c r="L952" s="3"/>
      <c r="M952" s="3"/>
      <c r="N952" s="3"/>
      <c r="O952" s="3"/>
      <c r="S952" s="3"/>
      <c r="T952" s="3"/>
    </row>
    <row r="953" spans="6:20" ht="13" x14ac:dyDescent="0.15">
      <c r="F953" s="3"/>
      <c r="G953" s="3"/>
      <c r="H953" s="3"/>
      <c r="I953" s="3"/>
      <c r="J953" s="3"/>
      <c r="K953" s="3"/>
      <c r="L953" s="3"/>
      <c r="M953" s="3"/>
      <c r="N953" s="3"/>
      <c r="O953" s="3"/>
      <c r="S953" s="3"/>
      <c r="T953" s="3"/>
    </row>
    <row r="954" spans="6:20" ht="13" x14ac:dyDescent="0.15">
      <c r="F954" s="3"/>
      <c r="G954" s="3"/>
      <c r="H954" s="3"/>
      <c r="I954" s="3"/>
      <c r="J954" s="3"/>
      <c r="K954" s="3"/>
      <c r="L954" s="3"/>
      <c r="M954" s="3"/>
      <c r="N954" s="3"/>
      <c r="O954" s="3"/>
      <c r="S954" s="3"/>
      <c r="T954" s="3"/>
    </row>
    <row r="955" spans="6:20" ht="13" x14ac:dyDescent="0.15">
      <c r="F955" s="3"/>
      <c r="G955" s="3"/>
      <c r="H955" s="3"/>
      <c r="I955" s="3"/>
      <c r="J955" s="3"/>
      <c r="K955" s="3"/>
      <c r="L955" s="3"/>
      <c r="M955" s="3"/>
      <c r="N955" s="3"/>
      <c r="O955" s="3"/>
      <c r="S955" s="3"/>
      <c r="T955" s="3"/>
    </row>
    <row r="956" spans="6:20" ht="13" x14ac:dyDescent="0.15">
      <c r="F956" s="3"/>
      <c r="G956" s="3"/>
      <c r="H956" s="3"/>
      <c r="I956" s="3"/>
      <c r="J956" s="3"/>
      <c r="K956" s="3"/>
      <c r="L956" s="3"/>
      <c r="M956" s="3"/>
      <c r="N956" s="3"/>
      <c r="O956" s="3"/>
      <c r="S956" s="3"/>
      <c r="T956" s="3"/>
    </row>
    <row r="957" spans="6:20" ht="13" x14ac:dyDescent="0.15">
      <c r="F957" s="3"/>
      <c r="G957" s="3"/>
      <c r="H957" s="3"/>
      <c r="I957" s="3"/>
      <c r="J957" s="3"/>
      <c r="K957" s="3"/>
      <c r="L957" s="3"/>
      <c r="M957" s="3"/>
      <c r="N957" s="3"/>
      <c r="O957" s="3"/>
      <c r="S957" s="3"/>
      <c r="T957" s="3"/>
    </row>
    <row r="958" spans="6:20" ht="13" x14ac:dyDescent="0.15">
      <c r="F958" s="3"/>
      <c r="G958" s="3"/>
      <c r="H958" s="3"/>
      <c r="I958" s="3"/>
      <c r="J958" s="3"/>
      <c r="K958" s="3"/>
      <c r="L958" s="3"/>
      <c r="M958" s="3"/>
      <c r="N958" s="3"/>
      <c r="O958" s="3"/>
      <c r="S958" s="3"/>
      <c r="T958" s="3"/>
    </row>
    <row r="959" spans="6:20" ht="13" x14ac:dyDescent="0.15">
      <c r="F959" s="3"/>
      <c r="G959" s="3"/>
      <c r="H959" s="3"/>
      <c r="I959" s="3"/>
      <c r="J959" s="3"/>
      <c r="K959" s="3"/>
      <c r="L959" s="3"/>
      <c r="M959" s="3"/>
      <c r="N959" s="3"/>
      <c r="O959" s="3"/>
      <c r="S959" s="3"/>
      <c r="T959" s="3"/>
    </row>
    <row r="960" spans="6:20" ht="13" x14ac:dyDescent="0.15">
      <c r="F960" s="3"/>
      <c r="G960" s="3"/>
      <c r="H960" s="3"/>
      <c r="I960" s="3"/>
      <c r="J960" s="3"/>
      <c r="K960" s="3"/>
      <c r="L960" s="3"/>
      <c r="M960" s="3"/>
      <c r="N960" s="3"/>
      <c r="O960" s="3"/>
      <c r="S960" s="3"/>
      <c r="T960" s="3"/>
    </row>
    <row r="961" spans="6:20" ht="13" x14ac:dyDescent="0.15">
      <c r="F961" s="3"/>
      <c r="G961" s="3"/>
      <c r="H961" s="3"/>
      <c r="I961" s="3"/>
      <c r="J961" s="3"/>
      <c r="K961" s="3"/>
      <c r="L961" s="3"/>
      <c r="M961" s="3"/>
      <c r="N961" s="3"/>
      <c r="O961" s="3"/>
      <c r="S961" s="3"/>
      <c r="T961" s="3"/>
    </row>
    <row r="962" spans="6:20" ht="13" x14ac:dyDescent="0.15">
      <c r="F962" s="3"/>
      <c r="G962" s="3"/>
      <c r="H962" s="3"/>
      <c r="I962" s="3"/>
      <c r="J962" s="3"/>
      <c r="K962" s="3"/>
      <c r="L962" s="3"/>
      <c r="M962" s="3"/>
      <c r="N962" s="3"/>
      <c r="O962" s="3"/>
      <c r="S962" s="3"/>
      <c r="T962" s="3"/>
    </row>
    <row r="963" spans="6:20" ht="13" x14ac:dyDescent="0.15">
      <c r="F963" s="3"/>
      <c r="G963" s="3"/>
      <c r="H963" s="3"/>
      <c r="I963" s="3"/>
      <c r="J963" s="3"/>
      <c r="K963" s="3"/>
      <c r="L963" s="3"/>
      <c r="M963" s="3"/>
      <c r="N963" s="3"/>
      <c r="O963" s="3"/>
      <c r="S963" s="3"/>
      <c r="T963" s="3"/>
    </row>
    <row r="964" spans="6:20" ht="13" x14ac:dyDescent="0.15">
      <c r="F964" s="3"/>
      <c r="G964" s="3"/>
      <c r="H964" s="3"/>
      <c r="I964" s="3"/>
      <c r="J964" s="3"/>
      <c r="K964" s="3"/>
      <c r="L964" s="3"/>
      <c r="M964" s="3"/>
      <c r="N964" s="3"/>
      <c r="O964" s="3"/>
      <c r="S964" s="3"/>
      <c r="T964" s="3"/>
    </row>
    <row r="965" spans="6:20" ht="13" x14ac:dyDescent="0.15">
      <c r="F965" s="3"/>
      <c r="G965" s="3"/>
      <c r="H965" s="3"/>
      <c r="I965" s="3"/>
      <c r="J965" s="3"/>
      <c r="K965" s="3"/>
      <c r="L965" s="3"/>
      <c r="M965" s="3"/>
      <c r="N965" s="3"/>
      <c r="O965" s="3"/>
      <c r="S965" s="3"/>
      <c r="T965" s="3"/>
    </row>
    <row r="966" spans="6:20" ht="13" x14ac:dyDescent="0.15">
      <c r="F966" s="3"/>
      <c r="G966" s="3"/>
      <c r="H966" s="3"/>
      <c r="I966" s="3"/>
      <c r="J966" s="3"/>
      <c r="K966" s="3"/>
      <c r="L966" s="3"/>
      <c r="M966" s="3"/>
      <c r="N966" s="3"/>
      <c r="O966" s="3"/>
      <c r="S966" s="3"/>
      <c r="T966" s="3"/>
    </row>
    <row r="967" spans="6:20" ht="13" x14ac:dyDescent="0.15">
      <c r="F967" s="3"/>
      <c r="G967" s="3"/>
      <c r="H967" s="3"/>
      <c r="I967" s="3"/>
      <c r="J967" s="3"/>
      <c r="K967" s="3"/>
      <c r="L967" s="3"/>
      <c r="M967" s="3"/>
      <c r="N967" s="3"/>
      <c r="O967" s="3"/>
      <c r="S967" s="3"/>
      <c r="T967" s="3"/>
    </row>
    <row r="968" spans="6:20" ht="13" x14ac:dyDescent="0.15">
      <c r="F968" s="3"/>
      <c r="G968" s="3"/>
      <c r="H968" s="3"/>
      <c r="I968" s="3"/>
      <c r="J968" s="3"/>
      <c r="K968" s="3"/>
      <c r="L968" s="3"/>
      <c r="M968" s="3"/>
      <c r="N968" s="3"/>
      <c r="O968" s="3"/>
      <c r="S968" s="3"/>
      <c r="T968" s="3"/>
    </row>
    <row r="969" spans="6:20" ht="13" x14ac:dyDescent="0.15">
      <c r="F969" s="3"/>
      <c r="G969" s="3"/>
      <c r="H969" s="3"/>
      <c r="I969" s="3"/>
      <c r="J969" s="3"/>
      <c r="K969" s="3"/>
      <c r="L969" s="3"/>
      <c r="M969" s="3"/>
      <c r="N969" s="3"/>
      <c r="O969" s="3"/>
      <c r="S969" s="3"/>
      <c r="T969" s="3"/>
    </row>
    <row r="970" spans="6:20" ht="13" x14ac:dyDescent="0.15">
      <c r="F970" s="3"/>
      <c r="G970" s="3"/>
      <c r="H970" s="3"/>
      <c r="I970" s="3"/>
      <c r="J970" s="3"/>
      <c r="K970" s="3"/>
      <c r="L970" s="3"/>
      <c r="M970" s="3"/>
      <c r="N970" s="3"/>
      <c r="O970" s="3"/>
      <c r="S970" s="3"/>
      <c r="T970" s="3"/>
    </row>
    <row r="971" spans="6:20" ht="13" x14ac:dyDescent="0.15">
      <c r="F971" s="3"/>
      <c r="G971" s="3"/>
      <c r="H971" s="3"/>
      <c r="I971" s="3"/>
      <c r="J971" s="3"/>
      <c r="K971" s="3"/>
      <c r="L971" s="3"/>
      <c r="M971" s="3"/>
      <c r="N971" s="3"/>
      <c r="O971" s="3"/>
      <c r="S971" s="3"/>
      <c r="T971" s="3"/>
    </row>
    <row r="972" spans="6:20" ht="13" x14ac:dyDescent="0.15">
      <c r="F972" s="3"/>
      <c r="G972" s="3"/>
      <c r="H972" s="3"/>
      <c r="I972" s="3"/>
      <c r="J972" s="3"/>
      <c r="K972" s="3"/>
      <c r="L972" s="3"/>
      <c r="M972" s="3"/>
      <c r="N972" s="3"/>
      <c r="O972" s="3"/>
      <c r="S972" s="3"/>
      <c r="T972" s="3"/>
    </row>
    <row r="973" spans="6:20" ht="13" x14ac:dyDescent="0.15">
      <c r="F973" s="3"/>
      <c r="G973" s="3"/>
      <c r="H973" s="3"/>
      <c r="I973" s="3"/>
      <c r="J973" s="3"/>
      <c r="K973" s="3"/>
      <c r="L973" s="3"/>
      <c r="M973" s="3"/>
      <c r="N973" s="3"/>
      <c r="O973" s="3"/>
      <c r="S973" s="3"/>
      <c r="T973" s="3"/>
    </row>
    <row r="974" spans="6:20" ht="13" x14ac:dyDescent="0.15">
      <c r="F974" s="3"/>
      <c r="G974" s="3"/>
      <c r="H974" s="3"/>
      <c r="I974" s="3"/>
      <c r="J974" s="3"/>
      <c r="K974" s="3"/>
      <c r="L974" s="3"/>
      <c r="M974" s="3"/>
      <c r="N974" s="3"/>
      <c r="O974" s="3"/>
      <c r="S974" s="3"/>
      <c r="T974" s="3"/>
    </row>
    <row r="975" spans="6:20" ht="13" x14ac:dyDescent="0.15">
      <c r="F975" s="3"/>
      <c r="G975" s="3"/>
      <c r="H975" s="3"/>
      <c r="I975" s="3"/>
      <c r="J975" s="3"/>
      <c r="K975" s="3"/>
      <c r="L975" s="3"/>
      <c r="M975" s="3"/>
      <c r="N975" s="3"/>
      <c r="O975" s="3"/>
      <c r="S975" s="3"/>
      <c r="T975" s="3"/>
    </row>
    <row r="976" spans="6:20" ht="13" x14ac:dyDescent="0.15">
      <c r="F976" s="3"/>
      <c r="G976" s="3"/>
      <c r="H976" s="3"/>
      <c r="I976" s="3"/>
      <c r="J976" s="3"/>
      <c r="K976" s="3"/>
      <c r="L976" s="3"/>
      <c r="M976" s="3"/>
      <c r="N976" s="3"/>
      <c r="O976" s="3"/>
      <c r="S976" s="3"/>
      <c r="T976" s="3"/>
    </row>
    <row r="977" spans="6:20" ht="13" x14ac:dyDescent="0.15">
      <c r="F977" s="3"/>
      <c r="G977" s="3"/>
      <c r="H977" s="3"/>
      <c r="I977" s="3"/>
      <c r="J977" s="3"/>
      <c r="K977" s="3"/>
      <c r="L977" s="3"/>
      <c r="M977" s="3"/>
      <c r="N977" s="3"/>
      <c r="O977" s="3"/>
      <c r="S977" s="3"/>
      <c r="T977" s="3"/>
    </row>
    <row r="978" spans="6:20" ht="13" x14ac:dyDescent="0.15">
      <c r="F978" s="3"/>
      <c r="G978" s="3"/>
      <c r="H978" s="3"/>
      <c r="I978" s="3"/>
      <c r="J978" s="3"/>
      <c r="K978" s="3"/>
      <c r="L978" s="3"/>
      <c r="M978" s="3"/>
      <c r="N978" s="3"/>
      <c r="O978" s="3"/>
      <c r="S978" s="3"/>
      <c r="T978" s="3"/>
    </row>
    <row r="979" spans="6:20" ht="13" x14ac:dyDescent="0.15">
      <c r="F979" s="3"/>
      <c r="G979" s="3"/>
      <c r="H979" s="3"/>
      <c r="I979" s="3"/>
      <c r="J979" s="3"/>
      <c r="K979" s="3"/>
      <c r="L979" s="3"/>
      <c r="M979" s="3"/>
      <c r="N979" s="3"/>
      <c r="O979" s="3"/>
      <c r="S979" s="3"/>
      <c r="T979" s="3"/>
    </row>
    <row r="980" spans="6:20" ht="13" x14ac:dyDescent="0.15">
      <c r="F980" s="3"/>
      <c r="G980" s="3"/>
      <c r="H980" s="3"/>
      <c r="I980" s="3"/>
      <c r="J980" s="3"/>
      <c r="K980" s="3"/>
      <c r="L980" s="3"/>
      <c r="M980" s="3"/>
      <c r="N980" s="3"/>
      <c r="O980" s="3"/>
      <c r="S980" s="3"/>
      <c r="T980" s="3"/>
    </row>
    <row r="981" spans="6:20" ht="13" x14ac:dyDescent="0.15">
      <c r="F981" s="3"/>
      <c r="G981" s="3"/>
      <c r="H981" s="3"/>
      <c r="I981" s="3"/>
      <c r="J981" s="3"/>
      <c r="K981" s="3"/>
      <c r="L981" s="3"/>
      <c r="M981" s="3"/>
      <c r="N981" s="3"/>
      <c r="O981" s="3"/>
      <c r="S981" s="3"/>
      <c r="T981" s="3"/>
    </row>
    <row r="982" spans="6:20" ht="13" x14ac:dyDescent="0.15">
      <c r="F982" s="3"/>
      <c r="G982" s="3"/>
      <c r="H982" s="3"/>
      <c r="I982" s="3"/>
      <c r="J982" s="3"/>
      <c r="K982" s="3"/>
      <c r="L982" s="3"/>
      <c r="M982" s="3"/>
      <c r="N982" s="3"/>
      <c r="O982" s="3"/>
      <c r="S982" s="3"/>
      <c r="T982" s="3"/>
    </row>
    <row r="983" spans="6:20" ht="13" x14ac:dyDescent="0.15">
      <c r="F983" s="3"/>
      <c r="G983" s="3"/>
      <c r="H983" s="3"/>
      <c r="I983" s="3"/>
      <c r="J983" s="3"/>
      <c r="K983" s="3"/>
      <c r="L983" s="3"/>
      <c r="M983" s="3"/>
      <c r="N983" s="3"/>
      <c r="O983" s="3"/>
      <c r="S983" s="3"/>
      <c r="T983" s="3"/>
    </row>
    <row r="984" spans="6:20" ht="13" x14ac:dyDescent="0.15">
      <c r="F984" s="3"/>
      <c r="G984" s="3"/>
      <c r="H984" s="3"/>
      <c r="I984" s="3"/>
      <c r="J984" s="3"/>
      <c r="K984" s="3"/>
      <c r="L984" s="3"/>
      <c r="M984" s="3"/>
      <c r="N984" s="3"/>
      <c r="O984" s="3"/>
      <c r="S984" s="3"/>
      <c r="T984" s="3"/>
    </row>
    <row r="985" spans="6:20" ht="13" x14ac:dyDescent="0.15">
      <c r="F985" s="3"/>
      <c r="G985" s="3"/>
      <c r="H985" s="3"/>
      <c r="I985" s="3"/>
      <c r="J985" s="3"/>
      <c r="K985" s="3"/>
      <c r="L985" s="3"/>
      <c r="M985" s="3"/>
      <c r="N985" s="3"/>
      <c r="O985" s="3"/>
      <c r="S985" s="3"/>
      <c r="T985" s="3"/>
    </row>
    <row r="986" spans="6:20" ht="13" x14ac:dyDescent="0.15">
      <c r="F986" s="3"/>
      <c r="G986" s="3"/>
      <c r="H986" s="3"/>
      <c r="I986" s="3"/>
      <c r="J986" s="3"/>
      <c r="K986" s="3"/>
      <c r="L986" s="3"/>
      <c r="M986" s="3"/>
      <c r="N986" s="3"/>
      <c r="O986" s="3"/>
      <c r="S986" s="3"/>
      <c r="T986" s="3"/>
    </row>
    <row r="987" spans="6:20" ht="13" x14ac:dyDescent="0.15">
      <c r="F987" s="3"/>
      <c r="G987" s="3"/>
      <c r="H987" s="3"/>
      <c r="I987" s="3"/>
      <c r="J987" s="3"/>
      <c r="K987" s="3"/>
      <c r="L987" s="3"/>
      <c r="M987" s="3"/>
      <c r="N987" s="3"/>
      <c r="O987" s="3"/>
      <c r="S987" s="3"/>
      <c r="T987" s="3"/>
    </row>
    <row r="988" spans="6:20" ht="13" x14ac:dyDescent="0.15">
      <c r="F988" s="3"/>
      <c r="G988" s="3"/>
      <c r="H988" s="3"/>
      <c r="I988" s="3"/>
      <c r="J988" s="3"/>
      <c r="K988" s="3"/>
      <c r="L988" s="3"/>
      <c r="M988" s="3"/>
      <c r="N988" s="3"/>
      <c r="O988" s="3"/>
      <c r="S988" s="3"/>
      <c r="T988" s="3"/>
    </row>
    <row r="989" spans="6:20" ht="13" x14ac:dyDescent="0.15">
      <c r="F989" s="3"/>
      <c r="G989" s="3"/>
      <c r="H989" s="3"/>
      <c r="I989" s="3"/>
      <c r="J989" s="3"/>
      <c r="K989" s="3"/>
      <c r="L989" s="3"/>
      <c r="M989" s="3"/>
      <c r="N989" s="3"/>
      <c r="O989" s="3"/>
      <c r="S989" s="3"/>
      <c r="T989" s="3"/>
    </row>
    <row r="990" spans="6:20" ht="13" x14ac:dyDescent="0.15">
      <c r="F990" s="3"/>
      <c r="G990" s="3"/>
      <c r="H990" s="3"/>
      <c r="I990" s="3"/>
      <c r="J990" s="3"/>
      <c r="K990" s="3"/>
      <c r="L990" s="3"/>
      <c r="M990" s="3"/>
      <c r="N990" s="3"/>
      <c r="O990" s="3"/>
      <c r="S990" s="3"/>
      <c r="T990" s="3"/>
    </row>
    <row r="991" spans="6:20" ht="13" x14ac:dyDescent="0.15">
      <c r="F991" s="3"/>
      <c r="G991" s="3"/>
      <c r="H991" s="3"/>
      <c r="I991" s="3"/>
      <c r="J991" s="3"/>
      <c r="K991" s="3"/>
      <c r="L991" s="3"/>
      <c r="M991" s="3"/>
      <c r="N991" s="3"/>
      <c r="O991" s="3"/>
      <c r="S991" s="3"/>
      <c r="T991" s="3"/>
    </row>
    <row r="992" spans="6:20" ht="13" x14ac:dyDescent="0.15">
      <c r="F992" s="3"/>
      <c r="G992" s="3"/>
      <c r="H992" s="3"/>
      <c r="I992" s="3"/>
      <c r="J992" s="3"/>
      <c r="K992" s="3"/>
      <c r="L992" s="3"/>
      <c r="M992" s="3"/>
      <c r="N992" s="3"/>
      <c r="O992" s="3"/>
      <c r="S992" s="3"/>
      <c r="T992" s="3"/>
    </row>
    <row r="993" spans="6:20" ht="13" x14ac:dyDescent="0.15">
      <c r="F993" s="3"/>
      <c r="G993" s="3"/>
      <c r="H993" s="3"/>
      <c r="I993" s="3"/>
      <c r="J993" s="3"/>
      <c r="K993" s="3"/>
      <c r="L993" s="3"/>
      <c r="M993" s="3"/>
      <c r="N993" s="3"/>
      <c r="O993" s="3"/>
      <c r="S993" s="3"/>
      <c r="T993" s="3"/>
    </row>
    <row r="994" spans="6:20" ht="13" x14ac:dyDescent="0.15">
      <c r="F994" s="3"/>
      <c r="G994" s="3"/>
      <c r="H994" s="3"/>
      <c r="I994" s="3"/>
      <c r="J994" s="3"/>
      <c r="K994" s="3"/>
      <c r="L994" s="3"/>
      <c r="M994" s="3"/>
      <c r="N994" s="3"/>
      <c r="O994" s="3"/>
      <c r="S994" s="3"/>
      <c r="T994" s="3"/>
    </row>
    <row r="995" spans="6:20" ht="13" x14ac:dyDescent="0.15">
      <c r="F995" s="3"/>
      <c r="G995" s="3"/>
      <c r="H995" s="3"/>
      <c r="I995" s="3"/>
      <c r="J995" s="3"/>
      <c r="K995" s="3"/>
      <c r="L995" s="3"/>
      <c r="M995" s="3"/>
      <c r="N995" s="3"/>
      <c r="O995" s="3"/>
      <c r="S995" s="3"/>
      <c r="T995" s="3"/>
    </row>
    <row r="996" spans="6:20" ht="13" x14ac:dyDescent="0.15">
      <c r="F996" s="3"/>
      <c r="G996" s="3"/>
      <c r="H996" s="3"/>
      <c r="I996" s="3"/>
      <c r="J996" s="3"/>
      <c r="K996" s="3"/>
      <c r="L996" s="3"/>
      <c r="M996" s="3"/>
      <c r="N996" s="3"/>
      <c r="O996" s="3"/>
      <c r="S996" s="3"/>
      <c r="T996" s="3"/>
    </row>
    <row r="997" spans="6:20" ht="13" x14ac:dyDescent="0.15">
      <c r="F997" s="3"/>
      <c r="G997" s="3"/>
      <c r="H997" s="3"/>
      <c r="I997" s="3"/>
      <c r="J997" s="3"/>
      <c r="K997" s="3"/>
      <c r="L997" s="3"/>
      <c r="M997" s="3"/>
      <c r="N997" s="3"/>
      <c r="O997" s="3"/>
      <c r="S997" s="3"/>
      <c r="T997" s="3"/>
    </row>
    <row r="998" spans="6:20" ht="13" x14ac:dyDescent="0.15">
      <c r="F998" s="3"/>
      <c r="G998" s="3"/>
      <c r="H998" s="3"/>
      <c r="I998" s="3"/>
      <c r="J998" s="3"/>
      <c r="K998" s="3"/>
      <c r="L998" s="3"/>
      <c r="M998" s="3"/>
      <c r="N998" s="3"/>
      <c r="O998" s="3"/>
      <c r="S998" s="3"/>
      <c r="T998" s="3"/>
    </row>
    <row r="999" spans="6:20" ht="13" x14ac:dyDescent="0.15">
      <c r="F999" s="3"/>
      <c r="G999" s="3"/>
      <c r="H999" s="3"/>
      <c r="I999" s="3"/>
      <c r="J999" s="3"/>
      <c r="K999" s="3"/>
      <c r="L999" s="3"/>
      <c r="M999" s="3"/>
      <c r="N999" s="3"/>
      <c r="O999" s="3"/>
      <c r="S999" s="3"/>
      <c r="T999" s="3"/>
    </row>
    <row r="1000" spans="6:20" ht="13" x14ac:dyDescent="0.15"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S1000" s="3"/>
      <c r="T1000" s="3"/>
    </row>
    <row r="1001" spans="6:20" ht="13" x14ac:dyDescent="0.15"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S1001" s="3"/>
      <c r="T1001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7897-E13D-2D47-A4A6-8C1311E49B6E}">
  <dimension ref="A1:X14"/>
  <sheetViews>
    <sheetView zoomScale="119" workbookViewId="0">
      <selection activeCell="N1" sqref="N1"/>
    </sheetView>
  </sheetViews>
  <sheetFormatPr baseColWidth="10" defaultRowHeight="13" x14ac:dyDescent="0.15"/>
  <sheetData>
    <row r="1" spans="1:24" x14ac:dyDescent="0.15">
      <c r="A1" s="4" t="s">
        <v>7</v>
      </c>
      <c r="B1" s="4" t="s">
        <v>71</v>
      </c>
      <c r="C1" s="4" t="s">
        <v>1</v>
      </c>
      <c r="D1" s="4" t="s">
        <v>86</v>
      </c>
      <c r="E1" s="4" t="s">
        <v>87</v>
      </c>
      <c r="F1" s="4" t="s">
        <v>88</v>
      </c>
      <c r="G1" s="4" t="s">
        <v>18</v>
      </c>
      <c r="H1" s="4" t="s">
        <v>31</v>
      </c>
      <c r="I1" s="4" t="s">
        <v>72</v>
      </c>
      <c r="J1" s="4" t="s">
        <v>73</v>
      </c>
      <c r="K1" s="4" t="s">
        <v>91</v>
      </c>
      <c r="L1" s="4" t="s">
        <v>92</v>
      </c>
      <c r="M1" s="4" t="s">
        <v>116</v>
      </c>
      <c r="N1" s="4" t="s">
        <v>117</v>
      </c>
      <c r="O1" s="4" t="s">
        <v>225</v>
      </c>
      <c r="P1" s="4" t="s">
        <v>125</v>
      </c>
      <c r="Q1" s="4" t="s">
        <v>18</v>
      </c>
      <c r="R1" s="4" t="s">
        <v>31</v>
      </c>
      <c r="S1" s="4" t="s">
        <v>72</v>
      </c>
      <c r="T1" s="4" t="s">
        <v>73</v>
      </c>
      <c r="U1" s="4" t="s">
        <v>91</v>
      </c>
      <c r="V1" s="4" t="s">
        <v>92</v>
      </c>
      <c r="W1" s="4" t="s">
        <v>116</v>
      </c>
      <c r="X1" s="4" t="s">
        <v>117</v>
      </c>
    </row>
    <row r="2" spans="1:24" x14ac:dyDescent="0.15">
      <c r="A2" s="4" t="s">
        <v>139</v>
      </c>
      <c r="B2" s="4" t="s">
        <v>22</v>
      </c>
      <c r="C2" s="4" t="s">
        <v>27</v>
      </c>
      <c r="D2">
        <v>26.3</v>
      </c>
      <c r="E2">
        <v>21.3</v>
      </c>
      <c r="G2">
        <f>0.01*D2*J2</f>
        <v>210.66300000000001</v>
      </c>
      <c r="H2">
        <f>0.01*E2*J2</f>
        <v>170.61300000000003</v>
      </c>
      <c r="J2">
        <v>801</v>
      </c>
      <c r="M2">
        <f>E2/100</f>
        <v>0.21299999999999999</v>
      </c>
      <c r="N2">
        <f>D2/100</f>
        <v>0.26300000000000001</v>
      </c>
      <c r="O2">
        <f>H2/G2</f>
        <v>0.8098859315589354</v>
      </c>
      <c r="Q2" s="1">
        <v>208</v>
      </c>
      <c r="R2" s="1">
        <v>183</v>
      </c>
      <c r="S2" s="1">
        <v>266</v>
      </c>
      <c r="T2">
        <v>804</v>
      </c>
      <c r="U2">
        <f t="shared" ref="U2:U7" si="0">S2/R2</f>
        <v>1.4535519125683061</v>
      </c>
      <c r="V2">
        <f t="shared" ref="V2:V7" si="1">S2/Q2</f>
        <v>1.2788461538461537</v>
      </c>
      <c r="W2">
        <f t="shared" ref="W2:W7" si="2">R2/T2</f>
        <v>0.22761194029850745</v>
      </c>
      <c r="X2">
        <f t="shared" ref="X2:X7" si="3">Q2/T2</f>
        <v>0.25870646766169153</v>
      </c>
    </row>
    <row r="3" spans="1:24" x14ac:dyDescent="0.15">
      <c r="A3" s="4" t="s">
        <v>140</v>
      </c>
      <c r="B3" s="4" t="s">
        <v>22</v>
      </c>
      <c r="C3" s="4" t="s">
        <v>89</v>
      </c>
      <c r="D3">
        <v>29</v>
      </c>
      <c r="E3">
        <v>23.5</v>
      </c>
      <c r="F3">
        <v>34.1</v>
      </c>
      <c r="G3">
        <f t="shared" ref="G3:G11" si="4">0.01*D3*J3</f>
        <v>189.66</v>
      </c>
      <c r="H3">
        <f t="shared" ref="H3:H11" si="5">0.01*E3*J3</f>
        <v>153.69</v>
      </c>
      <c r="I3">
        <f t="shared" ref="I3:I11" si="6">F3*0.01*J3</f>
        <v>223.01400000000001</v>
      </c>
      <c r="J3">
        <v>654</v>
      </c>
      <c r="K3">
        <f t="shared" ref="K3:K11" si="7">I3/H3</f>
        <v>1.451063829787234</v>
      </c>
      <c r="L3">
        <f t="shared" ref="L3:L10" si="8">I3/G3</f>
        <v>1.1758620689655173</v>
      </c>
      <c r="M3">
        <f t="shared" ref="M3:M11" si="9">E3/100</f>
        <v>0.23499999999999999</v>
      </c>
      <c r="N3">
        <f t="shared" ref="N3:N11" si="10">D3/100</f>
        <v>0.28999999999999998</v>
      </c>
      <c r="O3">
        <f t="shared" ref="O3:O11" si="11">H3/G3</f>
        <v>0.81034482758620685</v>
      </c>
      <c r="Q3" s="1">
        <v>337</v>
      </c>
      <c r="R3" s="1">
        <v>280</v>
      </c>
      <c r="S3" s="1">
        <v>439</v>
      </c>
      <c r="T3">
        <v>1454</v>
      </c>
      <c r="U3">
        <f t="shared" si="0"/>
        <v>1.5678571428571428</v>
      </c>
      <c r="V3">
        <f t="shared" si="1"/>
        <v>1.3026706231454006</v>
      </c>
      <c r="W3">
        <f t="shared" si="2"/>
        <v>0.19257221458046767</v>
      </c>
      <c r="X3">
        <f t="shared" si="3"/>
        <v>0.23177441540577717</v>
      </c>
    </row>
    <row r="4" spans="1:24" x14ac:dyDescent="0.15">
      <c r="A4" s="4" t="s">
        <v>141</v>
      </c>
      <c r="B4" s="4" t="s">
        <v>22</v>
      </c>
      <c r="C4" s="4" t="s">
        <v>89</v>
      </c>
      <c r="D4">
        <v>29.6</v>
      </c>
      <c r="E4">
        <v>23.9</v>
      </c>
      <c r="F4">
        <v>33.799999999999997</v>
      </c>
      <c r="G4">
        <f t="shared" si="4"/>
        <v>194.47200000000004</v>
      </c>
      <c r="H4">
        <f t="shared" si="5"/>
        <v>157.023</v>
      </c>
      <c r="I4">
        <f t="shared" si="6"/>
        <v>222.06599999999997</v>
      </c>
      <c r="J4">
        <v>657</v>
      </c>
      <c r="K4">
        <f t="shared" si="7"/>
        <v>1.4142259414225939</v>
      </c>
      <c r="L4">
        <f t="shared" si="8"/>
        <v>1.1418918918918914</v>
      </c>
      <c r="M4">
        <f t="shared" si="9"/>
        <v>0.23899999999999999</v>
      </c>
      <c r="N4">
        <f t="shared" si="10"/>
        <v>0.29600000000000004</v>
      </c>
      <c r="O4">
        <f t="shared" si="11"/>
        <v>0.80743243243243223</v>
      </c>
      <c r="Q4" s="1">
        <f>197+49</f>
        <v>246</v>
      </c>
      <c r="R4" s="1">
        <f>165+49</f>
        <v>214</v>
      </c>
      <c r="S4" s="1">
        <f>256+49</f>
        <v>305</v>
      </c>
      <c r="T4">
        <v>796</v>
      </c>
      <c r="U4">
        <f t="shared" si="0"/>
        <v>1.4252336448598131</v>
      </c>
      <c r="V4">
        <f t="shared" si="1"/>
        <v>1.2398373983739837</v>
      </c>
      <c r="W4">
        <f t="shared" si="2"/>
        <v>0.26884422110552764</v>
      </c>
      <c r="X4">
        <f t="shared" si="3"/>
        <v>0.30904522613065327</v>
      </c>
    </row>
    <row r="5" spans="1:24" x14ac:dyDescent="0.15">
      <c r="A5" s="4" t="s">
        <v>142</v>
      </c>
      <c r="B5" s="4" t="s">
        <v>22</v>
      </c>
      <c r="C5" s="4" t="s">
        <v>89</v>
      </c>
      <c r="D5">
        <v>27.6</v>
      </c>
      <c r="E5">
        <v>23</v>
      </c>
      <c r="F5">
        <v>33.6</v>
      </c>
      <c r="G5">
        <f t="shared" si="4"/>
        <v>178.29600000000002</v>
      </c>
      <c r="H5">
        <f t="shared" si="5"/>
        <v>148.58000000000001</v>
      </c>
      <c r="I5">
        <f t="shared" si="6"/>
        <v>217.05600000000001</v>
      </c>
      <c r="J5">
        <v>646</v>
      </c>
      <c r="K5">
        <f t="shared" si="7"/>
        <v>1.4608695652173913</v>
      </c>
      <c r="L5">
        <f t="shared" si="8"/>
        <v>1.2173913043478259</v>
      </c>
      <c r="M5">
        <f t="shared" si="9"/>
        <v>0.23</v>
      </c>
      <c r="N5">
        <f t="shared" si="10"/>
        <v>0.27600000000000002</v>
      </c>
      <c r="O5">
        <f t="shared" si="11"/>
        <v>0.83333333333333326</v>
      </c>
      <c r="Q5" s="1">
        <v>204</v>
      </c>
      <c r="R5" s="1">
        <v>151</v>
      </c>
      <c r="S5" s="1">
        <v>258</v>
      </c>
      <c r="T5">
        <v>776</v>
      </c>
      <c r="U5">
        <f t="shared" si="0"/>
        <v>1.7086092715231789</v>
      </c>
      <c r="V5">
        <f t="shared" si="1"/>
        <v>1.2647058823529411</v>
      </c>
      <c r="W5">
        <f t="shared" si="2"/>
        <v>0.19458762886597938</v>
      </c>
      <c r="X5">
        <f t="shared" si="3"/>
        <v>0.26288659793814434</v>
      </c>
    </row>
    <row r="6" spans="1:24" x14ac:dyDescent="0.15">
      <c r="A6" s="4" t="s">
        <v>143</v>
      </c>
      <c r="C6" s="4" t="s">
        <v>89</v>
      </c>
      <c r="D6">
        <v>29.4</v>
      </c>
      <c r="E6">
        <v>24.5</v>
      </c>
      <c r="F6">
        <v>34.6</v>
      </c>
      <c r="G6">
        <f t="shared" si="4"/>
        <v>207.26999999999998</v>
      </c>
      <c r="H6">
        <f t="shared" si="5"/>
        <v>172.72499999999999</v>
      </c>
      <c r="I6">
        <f t="shared" si="6"/>
        <v>243.93</v>
      </c>
      <c r="J6">
        <v>705</v>
      </c>
      <c r="K6">
        <f t="shared" si="7"/>
        <v>1.4122448979591837</v>
      </c>
      <c r="L6">
        <f t="shared" si="8"/>
        <v>1.1768707482993199</v>
      </c>
      <c r="M6">
        <f t="shared" si="9"/>
        <v>0.245</v>
      </c>
      <c r="N6">
        <f t="shared" si="10"/>
        <v>0.29399999999999998</v>
      </c>
      <c r="O6">
        <f t="shared" si="11"/>
        <v>0.83333333333333337</v>
      </c>
      <c r="Q6" s="1">
        <v>195</v>
      </c>
      <c r="R6" s="1">
        <v>163</v>
      </c>
      <c r="S6" s="1">
        <v>250</v>
      </c>
      <c r="T6">
        <v>735</v>
      </c>
      <c r="U6">
        <f t="shared" si="0"/>
        <v>1.5337423312883436</v>
      </c>
      <c r="V6">
        <f t="shared" si="1"/>
        <v>1.2820512820512822</v>
      </c>
      <c r="W6">
        <f t="shared" si="2"/>
        <v>0.22176870748299321</v>
      </c>
      <c r="X6">
        <f t="shared" si="3"/>
        <v>0.26530612244897961</v>
      </c>
    </row>
    <row r="7" spans="1:24" x14ac:dyDescent="0.15">
      <c r="A7" s="4" t="s">
        <v>144</v>
      </c>
      <c r="C7" s="4" t="s">
        <v>89</v>
      </c>
      <c r="D7">
        <v>28.9</v>
      </c>
      <c r="F7">
        <v>34.5</v>
      </c>
      <c r="G7">
        <f t="shared" si="4"/>
        <v>230.91099999999997</v>
      </c>
      <c r="I7">
        <f t="shared" si="6"/>
        <v>275.65500000000003</v>
      </c>
      <c r="J7">
        <v>799</v>
      </c>
      <c r="L7">
        <f t="shared" si="8"/>
        <v>1.1937716262975782</v>
      </c>
      <c r="N7">
        <f t="shared" si="10"/>
        <v>0.28899999999999998</v>
      </c>
      <c r="Q7" s="1">
        <v>580</v>
      </c>
      <c r="R7" s="1">
        <v>518</v>
      </c>
      <c r="S7" s="1">
        <v>820</v>
      </c>
      <c r="T7">
        <v>2590</v>
      </c>
      <c r="U7">
        <f t="shared" si="0"/>
        <v>1.583011583011583</v>
      </c>
      <c r="V7">
        <f t="shared" si="1"/>
        <v>1.4137931034482758</v>
      </c>
      <c r="W7">
        <f t="shared" si="2"/>
        <v>0.2</v>
      </c>
      <c r="X7">
        <f t="shared" si="3"/>
        <v>0.22393822393822393</v>
      </c>
    </row>
    <row r="8" spans="1:24" ht="16" x14ac:dyDescent="0.2">
      <c r="A8" s="4" t="s">
        <v>145</v>
      </c>
      <c r="C8" s="4" t="s">
        <v>89</v>
      </c>
      <c r="D8">
        <v>25.3</v>
      </c>
      <c r="E8">
        <v>19.2</v>
      </c>
      <c r="F8">
        <v>28.7</v>
      </c>
      <c r="G8">
        <f t="shared" si="4"/>
        <v>299.80500000000001</v>
      </c>
      <c r="H8">
        <f t="shared" si="5"/>
        <v>227.52</v>
      </c>
      <c r="I8">
        <f t="shared" si="6"/>
        <v>340.09499999999997</v>
      </c>
      <c r="J8">
        <v>1185</v>
      </c>
      <c r="K8">
        <f t="shared" si="7"/>
        <v>1.4947916666666665</v>
      </c>
      <c r="L8">
        <f t="shared" si="8"/>
        <v>1.134387351778656</v>
      </c>
      <c r="M8">
        <f t="shared" si="9"/>
        <v>0.192</v>
      </c>
      <c r="N8">
        <f t="shared" si="10"/>
        <v>0.253</v>
      </c>
      <c r="O8">
        <f t="shared" si="11"/>
        <v>0.75889328063241113</v>
      </c>
      <c r="U8">
        <f>AVERAGE(U2:U7)</f>
        <v>1.5453343143513945</v>
      </c>
      <c r="V8">
        <f>AVERAGE(V2:V7)</f>
        <v>1.2969840738696727</v>
      </c>
      <c r="W8" s="8">
        <f>AVERAGE(W2:W7)</f>
        <v>0.21756411872224588</v>
      </c>
      <c r="X8" s="8">
        <f>AVERAGE(X2:X7)</f>
        <v>0.25860950892057832</v>
      </c>
    </row>
    <row r="9" spans="1:24" x14ac:dyDescent="0.15">
      <c r="C9" s="4" t="s">
        <v>89</v>
      </c>
      <c r="D9">
        <v>29</v>
      </c>
      <c r="E9">
        <v>23.5</v>
      </c>
      <c r="F9">
        <v>34.299999999999997</v>
      </c>
      <c r="G9">
        <f>0.01*D9*J9</f>
        <v>169.07</v>
      </c>
      <c r="H9">
        <f t="shared" si="5"/>
        <v>137.005</v>
      </c>
      <c r="I9">
        <f t="shared" si="6"/>
        <v>199.96899999999999</v>
      </c>
      <c r="J9">
        <v>583</v>
      </c>
      <c r="K9">
        <f t="shared" si="7"/>
        <v>1.4595744680851064</v>
      </c>
      <c r="L9">
        <f t="shared" si="8"/>
        <v>1.1827586206896552</v>
      </c>
      <c r="M9">
        <f t="shared" si="9"/>
        <v>0.23499999999999999</v>
      </c>
      <c r="N9">
        <f t="shared" si="10"/>
        <v>0.28999999999999998</v>
      </c>
      <c r="O9">
        <f t="shared" si="11"/>
        <v>0.81034482758620685</v>
      </c>
    </row>
    <row r="10" spans="1:24" x14ac:dyDescent="0.15">
      <c r="C10" s="4" t="s">
        <v>77</v>
      </c>
      <c r="D10">
        <v>28.1</v>
      </c>
      <c r="E10">
        <v>23.1</v>
      </c>
      <c r="F10">
        <v>33.5</v>
      </c>
      <c r="G10">
        <f t="shared" si="4"/>
        <v>192.76600000000002</v>
      </c>
      <c r="H10">
        <f t="shared" si="5"/>
        <v>158.46600000000001</v>
      </c>
      <c r="I10">
        <f t="shared" si="6"/>
        <v>229.81</v>
      </c>
      <c r="J10">
        <v>686</v>
      </c>
      <c r="K10">
        <f t="shared" si="7"/>
        <v>1.4502164502164501</v>
      </c>
      <c r="L10">
        <f t="shared" si="8"/>
        <v>1.1921708185053379</v>
      </c>
      <c r="M10">
        <f t="shared" si="9"/>
        <v>0.23100000000000001</v>
      </c>
      <c r="N10">
        <f t="shared" si="10"/>
        <v>0.28100000000000003</v>
      </c>
      <c r="O10">
        <f t="shared" si="11"/>
        <v>0.82206405693950169</v>
      </c>
    </row>
    <row r="11" spans="1:24" x14ac:dyDescent="0.15">
      <c r="C11" s="4" t="s">
        <v>90</v>
      </c>
      <c r="D11">
        <v>26.8</v>
      </c>
      <c r="E11">
        <v>21.5</v>
      </c>
      <c r="F11">
        <v>31.8</v>
      </c>
      <c r="G11">
        <f t="shared" si="4"/>
        <v>569.5</v>
      </c>
      <c r="H11">
        <f t="shared" si="5"/>
        <v>456.875</v>
      </c>
      <c r="I11">
        <f t="shared" si="6"/>
        <v>675.75</v>
      </c>
      <c r="J11">
        <v>2125</v>
      </c>
      <c r="K11">
        <f t="shared" si="7"/>
        <v>1.4790697674418605</v>
      </c>
      <c r="L11">
        <f>I11/G11</f>
        <v>1.1865671641791045</v>
      </c>
      <c r="M11">
        <f t="shared" si="9"/>
        <v>0.215</v>
      </c>
      <c r="N11">
        <f t="shared" si="10"/>
        <v>0.26800000000000002</v>
      </c>
      <c r="O11">
        <f t="shared" si="11"/>
        <v>0.80223880597014929</v>
      </c>
    </row>
    <row r="12" spans="1:24" x14ac:dyDescent="0.15">
      <c r="C12" s="4"/>
      <c r="J12" t="s">
        <v>118</v>
      </c>
      <c r="K12">
        <f>AVERAGE(K2:K11)</f>
        <v>1.4527570733495607</v>
      </c>
      <c r="L12">
        <f>AVERAGE(L2:L11)</f>
        <v>1.1779635105505428</v>
      </c>
      <c r="M12">
        <f>AVERAGE(M2:M11)</f>
        <v>0.22611111111111112</v>
      </c>
      <c r="N12">
        <f>AVERAGE(N2:N11)</f>
        <v>0.27999999999999997</v>
      </c>
      <c r="O12">
        <f>AVERAGE(O2:O11)</f>
        <v>0.80976342548583435</v>
      </c>
    </row>
    <row r="13" spans="1:24" x14ac:dyDescent="0.15">
      <c r="C13" s="4"/>
      <c r="J13" t="s">
        <v>119</v>
      </c>
      <c r="K13">
        <f>STDEV(K2:K11)</f>
        <v>2.8552609645842802E-2</v>
      </c>
      <c r="L13">
        <f>STDEV(L2:L11)</f>
        <v>2.5760833778146707E-2</v>
      </c>
      <c r="M13">
        <f>STDEV(M2:M11)</f>
        <v>1.6503366659900369E-2</v>
      </c>
      <c r="N13">
        <f>STDEV(N2:N11)</f>
        <v>1.4575474072716959E-2</v>
      </c>
      <c r="O13">
        <f>STDEV(O2:O11)</f>
        <v>2.211589579764919E-2</v>
      </c>
    </row>
    <row r="14" spans="1:24" x14ac:dyDescent="0.15">
      <c r="C14" s="4"/>
      <c r="J14" t="s">
        <v>120</v>
      </c>
      <c r="K14">
        <f>K13/SQRT(8)</f>
        <v>1.0094871950573936E-2</v>
      </c>
      <c r="L14">
        <f>L13/SQRT(9)</f>
        <v>8.5869445927155685E-3</v>
      </c>
      <c r="M14">
        <f>M13/SQRT(9)</f>
        <v>5.5011222199667894E-3</v>
      </c>
      <c r="N14">
        <f>N13/SQRT(10)</f>
        <v>4.6091696046516263E-3</v>
      </c>
      <c r="O14">
        <f>O13/SQRT(10)</f>
        <v>6.993660321551777E-3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E3A-14A8-B742-A922-FD2CE129F9AF}">
  <dimension ref="A1:Z15"/>
  <sheetViews>
    <sheetView workbookViewId="0">
      <selection activeCell="O2" sqref="O2:O8"/>
    </sheetView>
  </sheetViews>
  <sheetFormatPr baseColWidth="10" defaultRowHeight="13" x14ac:dyDescent="0.15"/>
  <cols>
    <col min="13" max="13" width="13.5" bestFit="1" customWidth="1"/>
    <col min="14" max="14" width="12.5" bestFit="1" customWidth="1"/>
  </cols>
  <sheetData>
    <row r="1" spans="1:26" x14ac:dyDescent="0.15">
      <c r="A1" s="4" t="s">
        <v>5</v>
      </c>
      <c r="B1" s="4" t="s">
        <v>135</v>
      </c>
      <c r="C1" s="4" t="s">
        <v>71</v>
      </c>
      <c r="D1" s="4" t="s">
        <v>1</v>
      </c>
      <c r="E1" s="4" t="s">
        <v>86</v>
      </c>
      <c r="F1" s="4" t="s">
        <v>87</v>
      </c>
      <c r="G1" s="4" t="s">
        <v>88</v>
      </c>
      <c r="H1" s="4" t="s">
        <v>18</v>
      </c>
      <c r="I1" s="4" t="s">
        <v>31</v>
      </c>
      <c r="J1" s="4" t="s">
        <v>72</v>
      </c>
      <c r="K1" s="4" t="s">
        <v>73</v>
      </c>
      <c r="L1" s="4" t="s">
        <v>10</v>
      </c>
      <c r="M1" s="4" t="s">
        <v>91</v>
      </c>
      <c r="N1" s="4" t="s">
        <v>92</v>
      </c>
      <c r="O1" s="4" t="s">
        <v>116</v>
      </c>
      <c r="P1" s="4" t="s">
        <v>117</v>
      </c>
      <c r="Q1" s="4" t="s">
        <v>225</v>
      </c>
      <c r="R1" s="4" t="s">
        <v>125</v>
      </c>
      <c r="S1" s="4" t="s">
        <v>18</v>
      </c>
      <c r="T1" s="4" t="s">
        <v>31</v>
      </c>
      <c r="U1" s="4" t="s">
        <v>72</v>
      </c>
      <c r="V1" s="4" t="s">
        <v>73</v>
      </c>
      <c r="W1" s="4" t="s">
        <v>91</v>
      </c>
      <c r="X1" s="4" t="s">
        <v>92</v>
      </c>
      <c r="Y1" s="4" t="s">
        <v>116</v>
      </c>
      <c r="Z1" s="4" t="s">
        <v>117</v>
      </c>
    </row>
    <row r="2" spans="1:26" x14ac:dyDescent="0.15">
      <c r="A2" s="4" t="s">
        <v>145</v>
      </c>
      <c r="B2" s="4" t="s">
        <v>146</v>
      </c>
      <c r="C2">
        <v>1946</v>
      </c>
      <c r="D2" t="s">
        <v>113</v>
      </c>
      <c r="E2">
        <v>22.2</v>
      </c>
      <c r="F2">
        <v>21.7</v>
      </c>
      <c r="G2" s="4"/>
      <c r="H2">
        <f t="shared" ref="H2:H8" si="0">E2/100*K2</f>
        <v>145.18799999999999</v>
      </c>
      <c r="I2">
        <f t="shared" ref="I2:I8" si="1">F2/100*K2</f>
        <v>141.91800000000001</v>
      </c>
      <c r="K2">
        <v>654</v>
      </c>
      <c r="O2">
        <f>F2/100</f>
        <v>0.217</v>
      </c>
      <c r="P2">
        <f>E2/100</f>
        <v>0.222</v>
      </c>
      <c r="Q2">
        <f t="shared" ref="Q2:Q8" si="2">I2/H2</f>
        <v>0.9774774774774776</v>
      </c>
      <c r="S2" s="1">
        <v>153</v>
      </c>
      <c r="T2" s="1">
        <v>148</v>
      </c>
      <c r="U2" s="1">
        <v>204</v>
      </c>
      <c r="V2" s="1">
        <v>770</v>
      </c>
      <c r="W2">
        <f>U2/T2</f>
        <v>1.3783783783783783</v>
      </c>
      <c r="X2">
        <f>U2/S2</f>
        <v>1.3333333333333333</v>
      </c>
      <c r="Y2">
        <f>T2/V2</f>
        <v>0.19220779220779222</v>
      </c>
      <c r="Z2">
        <f>S2/V2</f>
        <v>0.19870129870129871</v>
      </c>
    </row>
    <row r="3" spans="1:26" x14ac:dyDescent="0.15">
      <c r="A3" s="4" t="s">
        <v>144</v>
      </c>
      <c r="B3" s="4" t="s">
        <v>146</v>
      </c>
      <c r="C3">
        <v>1877</v>
      </c>
      <c r="D3" t="s">
        <v>113</v>
      </c>
      <c r="E3">
        <v>22.6</v>
      </c>
      <c r="F3">
        <v>22</v>
      </c>
      <c r="G3" s="4"/>
      <c r="H3">
        <f t="shared" si="0"/>
        <v>138.99</v>
      </c>
      <c r="I3">
        <f t="shared" si="1"/>
        <v>135.30000000000001</v>
      </c>
      <c r="K3">
        <v>615</v>
      </c>
      <c r="O3">
        <f t="shared" ref="O3:O8" si="3">F3/100</f>
        <v>0.22</v>
      </c>
      <c r="P3">
        <f t="shared" ref="P3:P8" si="4">E3/100</f>
        <v>0.22600000000000001</v>
      </c>
      <c r="Q3">
        <f t="shared" si="2"/>
        <v>0.97345132743362839</v>
      </c>
      <c r="S3" s="1">
        <v>156</v>
      </c>
      <c r="T3" s="1">
        <v>150</v>
      </c>
      <c r="U3" s="1">
        <v>211</v>
      </c>
      <c r="V3" s="1">
        <v>716</v>
      </c>
      <c r="W3">
        <f>U3/T3</f>
        <v>1.4066666666666667</v>
      </c>
      <c r="X3">
        <f>U3/S3</f>
        <v>1.3525641025641026</v>
      </c>
      <c r="Y3">
        <f>T3/V3</f>
        <v>0.20949720670391062</v>
      </c>
      <c r="Z3">
        <f>S3/V3</f>
        <v>0.21787709497206703</v>
      </c>
    </row>
    <row r="4" spans="1:26" x14ac:dyDescent="0.15">
      <c r="A4" s="4" t="s">
        <v>143</v>
      </c>
      <c r="B4" s="4" t="s">
        <v>146</v>
      </c>
      <c r="C4">
        <v>1828</v>
      </c>
      <c r="D4" s="4" t="s">
        <v>100</v>
      </c>
      <c r="E4">
        <v>21.2</v>
      </c>
      <c r="F4">
        <v>20.6</v>
      </c>
      <c r="G4">
        <v>28.2</v>
      </c>
      <c r="H4">
        <f t="shared" si="0"/>
        <v>154.33599999999998</v>
      </c>
      <c r="I4">
        <f t="shared" si="1"/>
        <v>149.96800000000002</v>
      </c>
      <c r="J4">
        <f>G4/100*K4</f>
        <v>205.29599999999999</v>
      </c>
      <c r="K4">
        <v>728</v>
      </c>
      <c r="L4">
        <f>(100-G4)/100*K4</f>
        <v>522.70399999999995</v>
      </c>
      <c r="M4">
        <f>J4/I4</f>
        <v>1.3689320388349513</v>
      </c>
      <c r="N4">
        <f>J4/H4</f>
        <v>1.3301886792452831</v>
      </c>
      <c r="O4">
        <f t="shared" si="3"/>
        <v>0.20600000000000002</v>
      </c>
      <c r="P4">
        <f t="shared" si="4"/>
        <v>0.21199999999999999</v>
      </c>
      <c r="Q4">
        <f>I4/H4</f>
        <v>0.9716981132075474</v>
      </c>
      <c r="W4">
        <f>AVERAGE(W2:W3)</f>
        <v>1.3925225225225226</v>
      </c>
      <c r="X4">
        <f>AVERAGE(X2:X3)</f>
        <v>1.3429487179487181</v>
      </c>
      <c r="Y4">
        <f>AVERAGE(Y2:Y3)</f>
        <v>0.20085249945585143</v>
      </c>
      <c r="Z4">
        <f>AVERAGE(Z2:Z3)</f>
        <v>0.20828919683668287</v>
      </c>
    </row>
    <row r="5" spans="1:26" x14ac:dyDescent="0.15">
      <c r="A5" s="4" t="s">
        <v>142</v>
      </c>
      <c r="B5" s="4" t="s">
        <v>147</v>
      </c>
      <c r="D5" s="4" t="s">
        <v>90</v>
      </c>
      <c r="E5">
        <v>21.5</v>
      </c>
      <c r="F5">
        <v>20.3</v>
      </c>
      <c r="G5" s="4"/>
      <c r="H5">
        <f t="shared" si="0"/>
        <v>185.97499999999999</v>
      </c>
      <c r="I5">
        <f t="shared" si="1"/>
        <v>175.595</v>
      </c>
      <c r="K5">
        <v>865</v>
      </c>
      <c r="O5">
        <f t="shared" si="3"/>
        <v>0.20300000000000001</v>
      </c>
      <c r="P5">
        <f t="shared" si="4"/>
        <v>0.215</v>
      </c>
      <c r="Q5">
        <f t="shared" si="2"/>
        <v>0.94418604651162796</v>
      </c>
    </row>
    <row r="6" spans="1:26" x14ac:dyDescent="0.15">
      <c r="A6" s="4" t="s">
        <v>141</v>
      </c>
      <c r="B6" s="4" t="s">
        <v>147</v>
      </c>
      <c r="D6" s="4" t="s">
        <v>27</v>
      </c>
      <c r="E6">
        <v>20.399999999999999</v>
      </c>
      <c r="F6">
        <v>19.399999999999999</v>
      </c>
      <c r="G6" s="4"/>
      <c r="H6">
        <f t="shared" si="0"/>
        <v>254.99999999999997</v>
      </c>
      <c r="I6">
        <f t="shared" si="1"/>
        <v>242.49999999999997</v>
      </c>
      <c r="K6">
        <v>1250</v>
      </c>
      <c r="O6">
        <f t="shared" si="3"/>
        <v>0.19399999999999998</v>
      </c>
      <c r="P6">
        <f t="shared" si="4"/>
        <v>0.20399999999999999</v>
      </c>
      <c r="Q6">
        <f t="shared" si="2"/>
        <v>0.9509803921568627</v>
      </c>
    </row>
    <row r="7" spans="1:26" x14ac:dyDescent="0.15">
      <c r="A7" s="4" t="s">
        <v>140</v>
      </c>
      <c r="B7" s="4" t="s">
        <v>147</v>
      </c>
      <c r="D7" s="4" t="s">
        <v>99</v>
      </c>
      <c r="E7">
        <v>20.8</v>
      </c>
      <c r="F7">
        <v>20.6</v>
      </c>
      <c r="G7">
        <v>26.8</v>
      </c>
      <c r="H7">
        <f t="shared" si="0"/>
        <v>164.32000000000002</v>
      </c>
      <c r="I7">
        <f t="shared" si="1"/>
        <v>162.74</v>
      </c>
      <c r="J7">
        <f>G7/100*K7</f>
        <v>211.72</v>
      </c>
      <c r="K7">
        <v>790</v>
      </c>
      <c r="L7">
        <f>(100-G7)/100*K7</f>
        <v>578.28</v>
      </c>
      <c r="M7">
        <f>G7/F7</f>
        <v>1.3009708737864076</v>
      </c>
      <c r="N7">
        <f>J7/H7</f>
        <v>1.2884615384615383</v>
      </c>
      <c r="O7">
        <f t="shared" si="3"/>
        <v>0.20600000000000002</v>
      </c>
      <c r="P7">
        <f t="shared" si="4"/>
        <v>0.20800000000000002</v>
      </c>
      <c r="Q7">
        <f t="shared" si="2"/>
        <v>0.99038461538461531</v>
      </c>
    </row>
    <row r="8" spans="1:26" x14ac:dyDescent="0.15">
      <c r="A8" s="4" t="s">
        <v>139</v>
      </c>
      <c r="B8" s="4" t="s">
        <v>147</v>
      </c>
      <c r="D8" s="4" t="s">
        <v>98</v>
      </c>
      <c r="E8">
        <v>20.6</v>
      </c>
      <c r="F8">
        <v>19.899999999999999</v>
      </c>
      <c r="G8">
        <v>26.4</v>
      </c>
      <c r="H8">
        <f t="shared" si="0"/>
        <v>189.52</v>
      </c>
      <c r="I8">
        <f t="shared" si="1"/>
        <v>183.07999999999998</v>
      </c>
      <c r="J8">
        <f>G8/100*K8</f>
        <v>242.88000000000002</v>
      </c>
      <c r="K8">
        <v>920</v>
      </c>
      <c r="L8">
        <f>(100-G8)/100*K8</f>
        <v>677.12</v>
      </c>
      <c r="M8">
        <f>G8/F8</f>
        <v>1.3266331658291457</v>
      </c>
      <c r="N8">
        <f>J8/H8</f>
        <v>1.2815533980582525</v>
      </c>
      <c r="O8">
        <f t="shared" si="3"/>
        <v>0.19899999999999998</v>
      </c>
      <c r="P8">
        <f t="shared" si="4"/>
        <v>0.20600000000000002</v>
      </c>
      <c r="Q8">
        <f t="shared" si="2"/>
        <v>0.96601941747572806</v>
      </c>
    </row>
    <row r="9" spans="1:26" x14ac:dyDescent="0.15">
      <c r="M9">
        <f>AVERAGE((M2:M8))</f>
        <v>1.3321786928168349</v>
      </c>
      <c r="N9">
        <f>AVERAGE((N2:N8))</f>
        <v>1.3000678719216914</v>
      </c>
      <c r="O9">
        <f>AVERAGE((O2:O8))</f>
        <v>0.20642857142857143</v>
      </c>
      <c r="P9">
        <f>AVERAGE((P2:P8))</f>
        <v>0.21328571428571427</v>
      </c>
      <c r="Q9">
        <f>AVERAGE((Q2:Q8))</f>
        <v>0.96774248423535525</v>
      </c>
    </row>
    <row r="10" spans="1:26" x14ac:dyDescent="0.15">
      <c r="A10" s="4"/>
      <c r="B10" s="4"/>
      <c r="M10">
        <f>STDEV(M2:M8)</f>
        <v>3.4318284352036592E-2</v>
      </c>
      <c r="N10">
        <f>STDEV(N2:N8)</f>
        <v>2.6313074246970488E-2</v>
      </c>
      <c r="O10">
        <f>STDEV(O2:O8)</f>
        <v>9.2890104040050676E-3</v>
      </c>
      <c r="P10">
        <f>STDEV(P2:P8)</f>
        <v>8.2606352805395817E-3</v>
      </c>
      <c r="Q10">
        <f>STDEV(Q2:Q8)</f>
        <v>1.5782461446018765E-2</v>
      </c>
    </row>
    <row r="11" spans="1:26" x14ac:dyDescent="0.15">
      <c r="A11" s="4"/>
      <c r="B11" s="4"/>
    </row>
    <row r="12" spans="1:26" x14ac:dyDescent="0.15">
      <c r="A12" s="4"/>
      <c r="B12" s="4"/>
    </row>
    <row r="13" spans="1:26" x14ac:dyDescent="0.15">
      <c r="A13" s="4"/>
      <c r="B13" s="4"/>
    </row>
    <row r="14" spans="1:26" x14ac:dyDescent="0.15">
      <c r="A14" s="4"/>
      <c r="B14" s="4"/>
    </row>
    <row r="15" spans="1:26" x14ac:dyDescent="0.15">
      <c r="A15" s="4"/>
      <c r="B15" s="4"/>
    </row>
  </sheetData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E62C-2C7E-FB40-890D-697EEBF54CBD}">
  <dimension ref="A1:Z24"/>
  <sheetViews>
    <sheetView zoomScale="119" workbookViewId="0">
      <selection activeCell="O2" sqref="O2:O11"/>
    </sheetView>
  </sheetViews>
  <sheetFormatPr baseColWidth="10" defaultRowHeight="13" x14ac:dyDescent="0.15"/>
  <cols>
    <col min="1" max="2" width="10.83203125" customWidth="1"/>
  </cols>
  <sheetData>
    <row r="1" spans="1:26" x14ac:dyDescent="0.15">
      <c r="A1" t="s">
        <v>4</v>
      </c>
      <c r="B1" s="4" t="s">
        <v>135</v>
      </c>
      <c r="C1" t="s">
        <v>71</v>
      </c>
      <c r="D1" t="s">
        <v>1</v>
      </c>
      <c r="E1" s="4" t="s">
        <v>86</v>
      </c>
      <c r="F1" s="4" t="s">
        <v>87</v>
      </c>
      <c r="G1" s="4" t="s">
        <v>88</v>
      </c>
      <c r="H1" s="4" t="s">
        <v>18</v>
      </c>
      <c r="I1" s="4" t="s">
        <v>31</v>
      </c>
      <c r="J1" s="4" t="s">
        <v>72</v>
      </c>
      <c r="K1" s="4" t="s">
        <v>73</v>
      </c>
      <c r="L1" s="4" t="s">
        <v>10</v>
      </c>
      <c r="M1" s="4" t="s">
        <v>91</v>
      </c>
      <c r="N1" s="4" t="s">
        <v>92</v>
      </c>
      <c r="O1" s="4" t="s">
        <v>116</v>
      </c>
      <c r="P1" s="4" t="s">
        <v>117</v>
      </c>
      <c r="Q1" s="4" t="s">
        <v>225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15">
      <c r="A2" s="4" t="s">
        <v>148</v>
      </c>
      <c r="B2" s="4" t="s">
        <v>137</v>
      </c>
      <c r="D2" s="4" t="s">
        <v>122</v>
      </c>
      <c r="E2">
        <v>24.4</v>
      </c>
      <c r="F2">
        <v>23.5</v>
      </c>
      <c r="H2">
        <f t="shared" ref="H2:H11" si="0">E2/100*K2</f>
        <v>238.63200000000001</v>
      </c>
      <c r="I2">
        <f t="shared" ref="I2:I11" si="1">F2/100*K2</f>
        <v>229.82999999999998</v>
      </c>
      <c r="K2">
        <v>978</v>
      </c>
      <c r="O2">
        <f t="shared" ref="O2:O11" si="2">F2/100</f>
        <v>0.23499999999999999</v>
      </c>
      <c r="P2">
        <f t="shared" ref="P2:P11" si="3">E2/100</f>
        <v>0.24399999999999999</v>
      </c>
      <c r="Q2">
        <f>I2/H2</f>
        <v>0.96311475409836056</v>
      </c>
      <c r="S2" s="1"/>
      <c r="T2" s="1"/>
      <c r="U2" s="1"/>
      <c r="V2" s="1"/>
    </row>
    <row r="3" spans="1:26" x14ac:dyDescent="0.15">
      <c r="A3" s="4" t="s">
        <v>149</v>
      </c>
      <c r="B3" s="4" t="s">
        <v>136</v>
      </c>
      <c r="D3" s="4" t="s">
        <v>122</v>
      </c>
      <c r="E3">
        <v>23.2</v>
      </c>
      <c r="F3">
        <v>22</v>
      </c>
      <c r="H3">
        <f t="shared" si="0"/>
        <v>286.52</v>
      </c>
      <c r="I3">
        <f t="shared" si="1"/>
        <v>271.7</v>
      </c>
      <c r="K3">
        <v>1235</v>
      </c>
      <c r="O3">
        <f t="shared" si="2"/>
        <v>0.22</v>
      </c>
      <c r="P3">
        <f t="shared" si="3"/>
        <v>0.23199999999999998</v>
      </c>
      <c r="Q3">
        <f t="shared" ref="Q3:Q11" si="4">I3/H3</f>
        <v>0.94827586206896552</v>
      </c>
      <c r="S3" s="1"/>
      <c r="T3" s="1"/>
      <c r="U3" s="1"/>
      <c r="V3" s="1"/>
    </row>
    <row r="4" spans="1:26" x14ac:dyDescent="0.15">
      <c r="A4" s="4" t="s">
        <v>150</v>
      </c>
      <c r="B4" s="4" t="s">
        <v>137</v>
      </c>
      <c r="D4" t="s">
        <v>121</v>
      </c>
      <c r="E4">
        <v>25.8</v>
      </c>
      <c r="F4">
        <v>24.9</v>
      </c>
      <c r="G4">
        <v>33.299999999999997</v>
      </c>
      <c r="H4">
        <f t="shared" si="0"/>
        <v>214.91400000000002</v>
      </c>
      <c r="I4">
        <f t="shared" si="1"/>
        <v>207.417</v>
      </c>
      <c r="J4">
        <f>G4/100*K4</f>
        <v>277.38899999999995</v>
      </c>
      <c r="K4">
        <v>833</v>
      </c>
      <c r="L4">
        <f>(100-G4)/100*K4</f>
        <v>555.61099999999999</v>
      </c>
      <c r="M4">
        <f>J4/I4</f>
        <v>1.3373493975903612</v>
      </c>
      <c r="N4">
        <f>J4/H4</f>
        <v>1.2906976744186043</v>
      </c>
      <c r="O4">
        <f t="shared" si="2"/>
        <v>0.249</v>
      </c>
      <c r="P4">
        <f t="shared" si="3"/>
        <v>0.25800000000000001</v>
      </c>
      <c r="Q4">
        <f t="shared" si="4"/>
        <v>0.96511627906976738</v>
      </c>
      <c r="S4" s="1"/>
      <c r="T4" s="1"/>
      <c r="U4" s="1"/>
      <c r="V4" s="1"/>
    </row>
    <row r="5" spans="1:26" x14ac:dyDescent="0.15">
      <c r="A5" s="4" t="s">
        <v>151</v>
      </c>
      <c r="B5" s="4" t="s">
        <v>137</v>
      </c>
      <c r="C5">
        <v>1879</v>
      </c>
      <c r="D5" s="4" t="s">
        <v>77</v>
      </c>
      <c r="E5">
        <v>26.7</v>
      </c>
      <c r="F5">
        <v>25.2</v>
      </c>
      <c r="G5">
        <v>33.4</v>
      </c>
      <c r="H5">
        <f t="shared" si="0"/>
        <v>224.81400000000002</v>
      </c>
      <c r="I5">
        <f t="shared" si="1"/>
        <v>212.184</v>
      </c>
      <c r="J5">
        <f t="shared" ref="J5:J11" si="5">G5/100*K5</f>
        <v>281.22799999999995</v>
      </c>
      <c r="K5">
        <v>842</v>
      </c>
      <c r="L5">
        <f>(100-G5)/100*K5</f>
        <v>560.77199999999993</v>
      </c>
      <c r="M5">
        <f t="shared" ref="M5:M11" si="6">J5/I5</f>
        <v>1.3253968253968251</v>
      </c>
      <c r="N5">
        <f t="shared" ref="N5:N11" si="7">J5/H5</f>
        <v>1.2509363295880147</v>
      </c>
      <c r="O5">
        <f t="shared" si="2"/>
        <v>0.252</v>
      </c>
      <c r="P5">
        <f t="shared" si="3"/>
        <v>0.26700000000000002</v>
      </c>
      <c r="Q5">
        <f t="shared" si="4"/>
        <v>0.94382022471910099</v>
      </c>
    </row>
    <row r="6" spans="1:26" x14ac:dyDescent="0.15">
      <c r="A6" s="4" t="s">
        <v>152</v>
      </c>
      <c r="B6" s="4" t="s">
        <v>137</v>
      </c>
      <c r="C6">
        <v>1879</v>
      </c>
      <c r="D6" s="4" t="s">
        <v>77</v>
      </c>
      <c r="E6">
        <v>25</v>
      </c>
      <c r="F6">
        <v>23</v>
      </c>
      <c r="G6">
        <v>31.7</v>
      </c>
      <c r="H6">
        <f t="shared" si="0"/>
        <v>232</v>
      </c>
      <c r="I6">
        <f t="shared" si="1"/>
        <v>213.44</v>
      </c>
      <c r="J6">
        <f t="shared" si="5"/>
        <v>294.17599999999999</v>
      </c>
      <c r="K6">
        <v>928</v>
      </c>
      <c r="L6">
        <f>(100-G6)/100*K6</f>
        <v>633.82399999999996</v>
      </c>
      <c r="M6">
        <f t="shared" si="6"/>
        <v>1.3782608695652174</v>
      </c>
      <c r="N6">
        <f t="shared" si="7"/>
        <v>1.268</v>
      </c>
      <c r="O6">
        <f t="shared" si="2"/>
        <v>0.23</v>
      </c>
      <c r="P6">
        <f t="shared" si="3"/>
        <v>0.25</v>
      </c>
      <c r="Q6">
        <f t="shared" si="4"/>
        <v>0.92</v>
      </c>
    </row>
    <row r="7" spans="1:26" x14ac:dyDescent="0.15">
      <c r="A7" s="4" t="s">
        <v>153</v>
      </c>
      <c r="B7" s="4" t="s">
        <v>137</v>
      </c>
      <c r="D7" s="4" t="s">
        <v>123</v>
      </c>
      <c r="E7">
        <v>24.7</v>
      </c>
      <c r="F7">
        <v>23.4</v>
      </c>
      <c r="H7">
        <f t="shared" si="0"/>
        <v>284.54399999999998</v>
      </c>
      <c r="I7">
        <f t="shared" si="1"/>
        <v>269.56799999999998</v>
      </c>
      <c r="K7">
        <v>1152</v>
      </c>
      <c r="O7">
        <f t="shared" si="2"/>
        <v>0.23399999999999999</v>
      </c>
      <c r="P7">
        <f t="shared" si="3"/>
        <v>0.247</v>
      </c>
      <c r="Q7">
        <f t="shared" si="4"/>
        <v>0.94736842105263153</v>
      </c>
    </row>
    <row r="8" spans="1:26" x14ac:dyDescent="0.15">
      <c r="A8" s="4" t="s">
        <v>154</v>
      </c>
      <c r="B8" s="4" t="s">
        <v>137</v>
      </c>
      <c r="D8" s="4" t="s">
        <v>123</v>
      </c>
      <c r="E8">
        <v>23.3</v>
      </c>
      <c r="F8">
        <v>22.1</v>
      </c>
      <c r="G8">
        <v>30.1</v>
      </c>
      <c r="H8">
        <f t="shared" si="0"/>
        <v>274.94</v>
      </c>
      <c r="I8">
        <f t="shared" si="1"/>
        <v>260.78000000000003</v>
      </c>
      <c r="J8">
        <f t="shared" si="5"/>
        <v>355.18</v>
      </c>
      <c r="K8">
        <v>1180</v>
      </c>
      <c r="L8">
        <f>(100-G8)/100*K8</f>
        <v>824.82</v>
      </c>
      <c r="M8">
        <f t="shared" si="6"/>
        <v>1.3619909502262442</v>
      </c>
      <c r="N8">
        <f t="shared" si="7"/>
        <v>1.2918454935622319</v>
      </c>
      <c r="O8">
        <f t="shared" si="2"/>
        <v>0.221</v>
      </c>
      <c r="P8">
        <f t="shared" si="3"/>
        <v>0.23300000000000001</v>
      </c>
      <c r="Q8">
        <f t="shared" si="4"/>
        <v>0.94849785407725329</v>
      </c>
    </row>
    <row r="9" spans="1:26" x14ac:dyDescent="0.15">
      <c r="A9" s="4" t="s">
        <v>155</v>
      </c>
      <c r="B9" s="4" t="s">
        <v>137</v>
      </c>
      <c r="D9" s="4" t="s">
        <v>124</v>
      </c>
      <c r="E9">
        <v>27.5</v>
      </c>
      <c r="F9">
        <v>26.2</v>
      </c>
      <c r="H9">
        <f t="shared" si="0"/>
        <v>231.00000000000003</v>
      </c>
      <c r="I9">
        <f t="shared" si="1"/>
        <v>220.08</v>
      </c>
      <c r="K9">
        <v>840</v>
      </c>
      <c r="O9">
        <f t="shared" si="2"/>
        <v>0.26200000000000001</v>
      </c>
      <c r="P9">
        <f t="shared" si="3"/>
        <v>0.27500000000000002</v>
      </c>
      <c r="Q9">
        <f t="shared" si="4"/>
        <v>0.95272727272727264</v>
      </c>
    </row>
    <row r="10" spans="1:26" x14ac:dyDescent="0.15">
      <c r="A10" s="4" t="s">
        <v>156</v>
      </c>
      <c r="B10" s="4" t="s">
        <v>137</v>
      </c>
      <c r="D10" s="4" t="s">
        <v>100</v>
      </c>
      <c r="E10">
        <v>20.100000000000001</v>
      </c>
      <c r="F10">
        <v>19.3</v>
      </c>
      <c r="G10">
        <v>26.7</v>
      </c>
      <c r="H10">
        <f t="shared" si="0"/>
        <v>609.43200000000002</v>
      </c>
      <c r="I10">
        <f t="shared" si="1"/>
        <v>585.17600000000004</v>
      </c>
      <c r="J10">
        <f t="shared" si="5"/>
        <v>809.5440000000001</v>
      </c>
      <c r="K10">
        <v>3032</v>
      </c>
      <c r="L10">
        <f>(100-G10)/100*K10</f>
        <v>2222.4560000000001</v>
      </c>
      <c r="M10">
        <f t="shared" si="6"/>
        <v>1.383419689119171</v>
      </c>
      <c r="N10">
        <f t="shared" si="7"/>
        <v>1.3283582089552239</v>
      </c>
      <c r="O10">
        <f t="shared" si="2"/>
        <v>0.193</v>
      </c>
      <c r="P10">
        <f t="shared" si="3"/>
        <v>0.20100000000000001</v>
      </c>
      <c r="Q10">
        <f t="shared" si="4"/>
        <v>0.96019900497512445</v>
      </c>
    </row>
    <row r="11" spans="1:26" x14ac:dyDescent="0.15">
      <c r="A11" s="4" t="s">
        <v>157</v>
      </c>
      <c r="B11" s="4" t="s">
        <v>137</v>
      </c>
      <c r="D11" s="4" t="s">
        <v>100</v>
      </c>
      <c r="E11">
        <v>20.6</v>
      </c>
      <c r="F11">
        <v>21.2</v>
      </c>
      <c r="G11">
        <v>27.5</v>
      </c>
      <c r="H11">
        <f t="shared" si="0"/>
        <v>558.26</v>
      </c>
      <c r="I11">
        <f t="shared" si="1"/>
        <v>574.52</v>
      </c>
      <c r="J11">
        <f t="shared" si="5"/>
        <v>745.25000000000011</v>
      </c>
      <c r="K11">
        <v>2710</v>
      </c>
      <c r="L11">
        <f>(100-G11)/100*K11</f>
        <v>1964.75</v>
      </c>
      <c r="M11">
        <f t="shared" si="6"/>
        <v>1.297169811320755</v>
      </c>
      <c r="N11">
        <f t="shared" si="7"/>
        <v>1.3349514563106799</v>
      </c>
      <c r="O11">
        <f t="shared" si="2"/>
        <v>0.21199999999999999</v>
      </c>
      <c r="P11">
        <f t="shared" si="3"/>
        <v>0.20600000000000002</v>
      </c>
      <c r="Q11">
        <f t="shared" si="4"/>
        <v>1.029126213592233</v>
      </c>
    </row>
    <row r="12" spans="1:26" x14ac:dyDescent="0.15">
      <c r="M12">
        <f>AVERAGE(M2:M11)</f>
        <v>1.3472645905364289</v>
      </c>
      <c r="N12">
        <f>AVERAGE(N2:N11)</f>
        <v>1.294131527139126</v>
      </c>
      <c r="O12">
        <f>AVERAGE(O2:O11)</f>
        <v>0.23080000000000003</v>
      </c>
      <c r="P12">
        <f>AVERAGE(P2:P11)</f>
        <v>0.24129999999999999</v>
      </c>
      <c r="Q12">
        <f>AVERAGE(Q2:Q11)</f>
        <v>0.95782458863807085</v>
      </c>
    </row>
    <row r="13" spans="1:26" x14ac:dyDescent="0.15">
      <c r="M13">
        <f>STDEV(M2:M11)</f>
        <v>3.3379104975711567E-2</v>
      </c>
      <c r="N13">
        <f>STDEV(N2:N11)</f>
        <v>3.2873793397885855E-2</v>
      </c>
      <c r="O13">
        <f>STDEV(O2:O11)</f>
        <v>2.0487394498406412E-2</v>
      </c>
      <c r="P13">
        <f>STDEV(P2:P11)</f>
        <v>2.4074190882907499E-2</v>
      </c>
      <c r="Q13">
        <f>STDEV(Q2:Q11)</f>
        <v>2.810894700414715E-2</v>
      </c>
    </row>
    <row r="22" spans="20:25" x14ac:dyDescent="0.15">
      <c r="V22" s="1"/>
      <c r="W22" s="1"/>
      <c r="Y22" s="1"/>
    </row>
    <row r="23" spans="20:25" x14ac:dyDescent="0.15">
      <c r="T23" s="1"/>
      <c r="V23" s="1"/>
      <c r="W23" s="1"/>
    </row>
    <row r="24" spans="20:25" x14ac:dyDescent="0.15">
      <c r="V24" s="1"/>
      <c r="W24" s="1"/>
      <c r="Y24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D4A8-C5B5-F041-8286-DF11062F5F66}">
  <dimension ref="A1:S12"/>
  <sheetViews>
    <sheetView zoomScale="119" zoomScaleNormal="144" workbookViewId="0">
      <selection activeCell="K8" sqref="K8"/>
    </sheetView>
  </sheetViews>
  <sheetFormatPr baseColWidth="10" defaultRowHeight="13" x14ac:dyDescent="0.15"/>
  <cols>
    <col min="1" max="1" width="19" bestFit="1" customWidth="1"/>
    <col min="2" max="2" width="5" bestFit="1" customWidth="1"/>
  </cols>
  <sheetData>
    <row r="1" spans="1:19" x14ac:dyDescent="0.15">
      <c r="A1" s="4" t="s">
        <v>6</v>
      </c>
      <c r="B1" s="4" t="s">
        <v>135</v>
      </c>
      <c r="C1" s="4" t="s">
        <v>71</v>
      </c>
      <c r="D1" s="4" t="s">
        <v>1</v>
      </c>
      <c r="E1" s="4" t="s">
        <v>86</v>
      </c>
      <c r="F1" s="4" t="s">
        <v>87</v>
      </c>
      <c r="G1" s="4" t="s">
        <v>88</v>
      </c>
      <c r="H1" s="4" t="s">
        <v>18</v>
      </c>
      <c r="I1" s="4" t="s">
        <v>31</v>
      </c>
      <c r="J1" s="4" t="s">
        <v>72</v>
      </c>
      <c r="K1" s="4" t="s">
        <v>10</v>
      </c>
      <c r="L1" s="4" t="s">
        <v>73</v>
      </c>
      <c r="M1" s="4" t="s">
        <v>91</v>
      </c>
      <c r="N1" s="4" t="s">
        <v>92</v>
      </c>
      <c r="O1" s="4" t="s">
        <v>116</v>
      </c>
      <c r="P1" s="4" t="s">
        <v>117</v>
      </c>
      <c r="Q1" s="4" t="s">
        <v>225</v>
      </c>
      <c r="R1" s="4" t="s">
        <v>114</v>
      </c>
      <c r="S1" s="4" t="s">
        <v>115</v>
      </c>
    </row>
    <row r="2" spans="1:19" x14ac:dyDescent="0.15">
      <c r="A2" s="4" t="s">
        <v>126</v>
      </c>
      <c r="B2" s="4" t="s">
        <v>136</v>
      </c>
      <c r="C2" s="4">
        <v>1909</v>
      </c>
      <c r="D2" s="4" t="s">
        <v>74</v>
      </c>
      <c r="E2" s="4">
        <v>24.5</v>
      </c>
      <c r="F2" s="4">
        <v>22.8</v>
      </c>
      <c r="G2" s="4">
        <v>30.4</v>
      </c>
      <c r="H2" s="4">
        <v>383.4</v>
      </c>
      <c r="I2" s="4">
        <f>F2/100*L2</f>
        <v>356.82</v>
      </c>
      <c r="J2" s="4">
        <f>(G2)/100*L2</f>
        <v>475.76</v>
      </c>
      <c r="K2" s="4">
        <f>L2-J2</f>
        <v>1089.24</v>
      </c>
      <c r="L2" s="4">
        <v>1565</v>
      </c>
      <c r="M2">
        <f>J2/I2</f>
        <v>1.3333333333333333</v>
      </c>
      <c r="N2" s="4">
        <v>1.2410015649999999</v>
      </c>
      <c r="O2">
        <f>F2/100</f>
        <v>0.22800000000000001</v>
      </c>
      <c r="P2">
        <f>E2/100</f>
        <v>0.245</v>
      </c>
      <c r="Q2">
        <f>I2/H2</f>
        <v>0.93067292644757438</v>
      </c>
      <c r="R2">
        <f>L2/10</f>
        <v>156.5</v>
      </c>
      <c r="S2">
        <f>H2/10</f>
        <v>38.339999999999996</v>
      </c>
    </row>
    <row r="3" spans="1:19" x14ac:dyDescent="0.15">
      <c r="A3" s="4" t="s">
        <v>127</v>
      </c>
      <c r="B3" s="4" t="s">
        <v>136</v>
      </c>
      <c r="C3" s="4" t="s">
        <v>22</v>
      </c>
      <c r="D3" s="4" t="s">
        <v>75</v>
      </c>
      <c r="E3" s="4">
        <v>24.7</v>
      </c>
      <c r="F3" s="4">
        <v>22.9</v>
      </c>
      <c r="G3" s="4">
        <v>31</v>
      </c>
      <c r="H3" s="4">
        <v>227.2</v>
      </c>
      <c r="I3" s="4">
        <f t="shared" ref="I3:I10" si="0">F3/100*L3</f>
        <v>210.67999999999998</v>
      </c>
      <c r="J3" s="4">
        <f>(G3)/100*L3</f>
        <v>285.2</v>
      </c>
      <c r="K3" s="4">
        <f t="shared" ref="K3:K10" si="1">L3-J3</f>
        <v>634.79999999999995</v>
      </c>
      <c r="L3" s="4">
        <v>920</v>
      </c>
      <c r="M3">
        <f>J3/I3</f>
        <v>1.3537117903930131</v>
      </c>
      <c r="N3" s="4">
        <v>1.2552816899999999</v>
      </c>
      <c r="O3">
        <f t="shared" ref="O3:O10" si="2">F3/100</f>
        <v>0.22899999999999998</v>
      </c>
      <c r="P3">
        <f t="shared" ref="P3:P10" si="3">E3/100</f>
        <v>0.247</v>
      </c>
      <c r="Q3">
        <f t="shared" ref="Q3:Q10" si="4">I3/H3</f>
        <v>0.92728873239436616</v>
      </c>
      <c r="R3">
        <f t="shared" ref="R3:R10" si="5">L3/10</f>
        <v>92</v>
      </c>
      <c r="S3">
        <f t="shared" ref="S3:S10" si="6">H3/10</f>
        <v>22.72</v>
      </c>
    </row>
    <row r="4" spans="1:19" x14ac:dyDescent="0.15">
      <c r="A4" s="4" t="s">
        <v>128</v>
      </c>
      <c r="B4" s="4" t="s">
        <v>137</v>
      </c>
      <c r="C4" s="4">
        <v>1929</v>
      </c>
      <c r="D4" s="4" t="s">
        <v>75</v>
      </c>
      <c r="E4" s="4">
        <v>24.9</v>
      </c>
      <c r="F4" s="4">
        <v>23.3</v>
      </c>
      <c r="G4" s="4">
        <v>32.799999999999997</v>
      </c>
      <c r="H4" s="4">
        <v>180</v>
      </c>
      <c r="I4" s="4">
        <f t="shared" si="0"/>
        <v>168.459</v>
      </c>
      <c r="J4" s="4">
        <f>(G4)/100*L4</f>
        <v>237.14399999999998</v>
      </c>
      <c r="K4" s="4">
        <f t="shared" si="1"/>
        <v>485.85599999999999</v>
      </c>
      <c r="L4" s="4">
        <v>723</v>
      </c>
      <c r="M4">
        <f>J4/I4</f>
        <v>1.4077253218884118</v>
      </c>
      <c r="N4" s="4">
        <v>1.3172222220000001</v>
      </c>
      <c r="O4">
        <f t="shared" si="2"/>
        <v>0.23300000000000001</v>
      </c>
      <c r="P4">
        <f t="shared" si="3"/>
        <v>0.249</v>
      </c>
      <c r="Q4">
        <f t="shared" si="4"/>
        <v>0.9358833333333334</v>
      </c>
      <c r="R4">
        <f t="shared" si="5"/>
        <v>72.3</v>
      </c>
      <c r="S4">
        <f t="shared" si="6"/>
        <v>18</v>
      </c>
    </row>
    <row r="5" spans="1:19" x14ac:dyDescent="0.15">
      <c r="A5" s="4" t="s">
        <v>129</v>
      </c>
      <c r="B5" s="4" t="s">
        <v>136</v>
      </c>
      <c r="C5" s="4" t="s">
        <v>22</v>
      </c>
      <c r="D5" s="4" t="s">
        <v>75</v>
      </c>
      <c r="E5" s="4">
        <v>27.2</v>
      </c>
      <c r="F5" s="4">
        <v>25.4</v>
      </c>
      <c r="G5" s="4">
        <v>34.5</v>
      </c>
      <c r="H5" s="4">
        <v>194.2</v>
      </c>
      <c r="I5" s="4">
        <f t="shared" si="0"/>
        <v>181.35599999999999</v>
      </c>
      <c r="J5" s="4">
        <f>(G5)/100*L5</f>
        <v>246.32999999999998</v>
      </c>
      <c r="K5" s="4">
        <f t="shared" si="1"/>
        <v>467.67</v>
      </c>
      <c r="L5" s="4">
        <v>714</v>
      </c>
      <c r="M5">
        <f>J5/I5</f>
        <v>1.3582677165354331</v>
      </c>
      <c r="N5" s="4">
        <v>1.2682801239999999</v>
      </c>
      <c r="O5">
        <f t="shared" si="2"/>
        <v>0.254</v>
      </c>
      <c r="P5">
        <f t="shared" si="3"/>
        <v>0.27200000000000002</v>
      </c>
      <c r="Q5">
        <f t="shared" si="4"/>
        <v>0.93386199794026781</v>
      </c>
      <c r="R5">
        <f t="shared" si="5"/>
        <v>71.400000000000006</v>
      </c>
      <c r="S5">
        <f t="shared" si="6"/>
        <v>19.419999999999998</v>
      </c>
    </row>
    <row r="6" spans="1:19" x14ac:dyDescent="0.15">
      <c r="A6" s="4" t="s">
        <v>130</v>
      </c>
      <c r="B6" s="4" t="s">
        <v>137</v>
      </c>
      <c r="C6" s="4" t="s">
        <v>22</v>
      </c>
      <c r="D6" s="4" t="s">
        <v>76</v>
      </c>
      <c r="E6" s="4">
        <v>24</v>
      </c>
      <c r="F6" s="4">
        <v>22.6</v>
      </c>
      <c r="G6" s="4"/>
      <c r="H6" s="4">
        <v>443.5</v>
      </c>
      <c r="I6" s="4">
        <f t="shared" si="0"/>
        <v>417.64800000000002</v>
      </c>
      <c r="J6" s="4"/>
      <c r="K6" s="4"/>
      <c r="L6" s="4">
        <v>1848</v>
      </c>
      <c r="N6" s="4"/>
      <c r="O6">
        <f t="shared" si="2"/>
        <v>0.22600000000000001</v>
      </c>
      <c r="P6">
        <f t="shared" si="3"/>
        <v>0.24</v>
      </c>
      <c r="Q6">
        <f t="shared" si="4"/>
        <v>0.94170913190529881</v>
      </c>
      <c r="R6">
        <f t="shared" si="5"/>
        <v>184.8</v>
      </c>
      <c r="S6">
        <f t="shared" si="6"/>
        <v>44.35</v>
      </c>
    </row>
    <row r="7" spans="1:19" x14ac:dyDescent="0.15">
      <c r="A7" s="4" t="s">
        <v>131</v>
      </c>
      <c r="B7" s="4" t="s">
        <v>136</v>
      </c>
      <c r="C7" s="4" t="s">
        <v>22</v>
      </c>
      <c r="D7" s="4" t="s">
        <v>77</v>
      </c>
      <c r="E7" s="4">
        <v>25.4</v>
      </c>
      <c r="F7" s="4">
        <v>23.6</v>
      </c>
      <c r="G7" s="4">
        <v>31.3</v>
      </c>
      <c r="H7" s="4">
        <v>255.3</v>
      </c>
      <c r="I7" s="4">
        <f t="shared" si="0"/>
        <v>237.18</v>
      </c>
      <c r="J7" s="4">
        <f>(G7)/100*L7</f>
        <v>314.565</v>
      </c>
      <c r="K7" s="4">
        <f t="shared" si="1"/>
        <v>690.43499999999995</v>
      </c>
      <c r="L7" s="4">
        <v>1005</v>
      </c>
      <c r="M7">
        <f>J7/I7</f>
        <v>1.326271186440678</v>
      </c>
      <c r="N7" s="4">
        <v>1.232275754</v>
      </c>
      <c r="O7">
        <f t="shared" si="2"/>
        <v>0.23600000000000002</v>
      </c>
      <c r="P7">
        <f t="shared" si="3"/>
        <v>0.254</v>
      </c>
      <c r="Q7">
        <f t="shared" si="4"/>
        <v>0.92902467685076384</v>
      </c>
      <c r="R7">
        <f t="shared" si="5"/>
        <v>100.5</v>
      </c>
      <c r="S7">
        <f t="shared" si="6"/>
        <v>25.53</v>
      </c>
    </row>
    <row r="8" spans="1:19" x14ac:dyDescent="0.15">
      <c r="A8" s="4" t="s">
        <v>132</v>
      </c>
      <c r="B8" s="4" t="s">
        <v>138</v>
      </c>
      <c r="C8" s="4" t="s">
        <v>22</v>
      </c>
      <c r="D8" s="4" t="s">
        <v>22</v>
      </c>
      <c r="E8" s="4">
        <v>30.6</v>
      </c>
      <c r="F8" s="4">
        <v>28.2</v>
      </c>
      <c r="G8" s="4">
        <v>37.799999999999997</v>
      </c>
      <c r="H8" s="4">
        <v>1029.7</v>
      </c>
      <c r="I8" s="4">
        <f t="shared" si="0"/>
        <v>948.93</v>
      </c>
      <c r="J8" s="4">
        <f>(G8)/100*L8</f>
        <v>1271.9699999999998</v>
      </c>
      <c r="K8" s="4">
        <f t="shared" si="1"/>
        <v>2093.0300000000002</v>
      </c>
      <c r="L8" s="4">
        <v>3365</v>
      </c>
      <c r="M8">
        <f>J8/I8</f>
        <v>1.3404255319148934</v>
      </c>
      <c r="N8" s="4">
        <v>1.2353112559999999</v>
      </c>
      <c r="O8">
        <f t="shared" si="2"/>
        <v>0.28199999999999997</v>
      </c>
      <c r="P8">
        <f t="shared" si="3"/>
        <v>0.30599999999999999</v>
      </c>
      <c r="Q8">
        <f t="shared" si="4"/>
        <v>0.92155967757599289</v>
      </c>
      <c r="R8">
        <f t="shared" si="5"/>
        <v>336.5</v>
      </c>
      <c r="S8">
        <f t="shared" si="6"/>
        <v>102.97</v>
      </c>
    </row>
    <row r="9" spans="1:19" x14ac:dyDescent="0.15">
      <c r="A9" s="4" t="s">
        <v>133</v>
      </c>
      <c r="B9" s="4" t="s">
        <v>138</v>
      </c>
      <c r="C9" s="4" t="s">
        <v>22</v>
      </c>
      <c r="D9" s="4" t="s">
        <v>22</v>
      </c>
      <c r="E9" s="4">
        <v>25</v>
      </c>
      <c r="F9" s="4">
        <v>22.4</v>
      </c>
      <c r="G9" s="4">
        <v>30.7</v>
      </c>
      <c r="H9" s="4">
        <v>854</v>
      </c>
      <c r="I9" s="4">
        <f t="shared" si="0"/>
        <v>765.18399999999997</v>
      </c>
      <c r="J9" s="4">
        <f>(G9)/100*L9</f>
        <v>1048.712</v>
      </c>
      <c r="K9" s="4">
        <f t="shared" si="1"/>
        <v>2367.288</v>
      </c>
      <c r="L9" s="4">
        <v>3416</v>
      </c>
      <c r="M9">
        <f>J9/I9</f>
        <v>1.3705357142857144</v>
      </c>
      <c r="N9" s="4">
        <v>1.2279859479999999</v>
      </c>
      <c r="O9">
        <f t="shared" si="2"/>
        <v>0.22399999999999998</v>
      </c>
      <c r="P9">
        <f t="shared" si="3"/>
        <v>0.25</v>
      </c>
      <c r="Q9">
        <f t="shared" si="4"/>
        <v>0.89600000000000002</v>
      </c>
      <c r="R9">
        <f t="shared" si="5"/>
        <v>341.6</v>
      </c>
      <c r="S9">
        <f t="shared" si="6"/>
        <v>85.4</v>
      </c>
    </row>
    <row r="10" spans="1:19" x14ac:dyDescent="0.15">
      <c r="A10" s="4" t="s">
        <v>134</v>
      </c>
      <c r="B10" s="4" t="s">
        <v>138</v>
      </c>
      <c r="C10" s="4" t="s">
        <v>22</v>
      </c>
      <c r="D10" s="4" t="s">
        <v>22</v>
      </c>
      <c r="E10" s="4">
        <v>24.6</v>
      </c>
      <c r="F10" s="4">
        <v>22.4</v>
      </c>
      <c r="G10" s="4">
        <v>28.9</v>
      </c>
      <c r="H10" s="4">
        <v>499.4</v>
      </c>
      <c r="I10" s="4">
        <f t="shared" si="0"/>
        <v>454.71999999999997</v>
      </c>
      <c r="J10" s="4">
        <f>(G10)/100*L10</f>
        <v>586.66999999999996</v>
      </c>
      <c r="K10" s="4">
        <f t="shared" si="1"/>
        <v>1443.33</v>
      </c>
      <c r="L10" s="4">
        <v>2030</v>
      </c>
      <c r="M10">
        <f>J10/I10</f>
        <v>1.2901785714285714</v>
      </c>
      <c r="N10" s="4">
        <v>1.1748097719999999</v>
      </c>
      <c r="O10">
        <f t="shared" si="2"/>
        <v>0.22399999999999998</v>
      </c>
      <c r="P10">
        <f t="shared" si="3"/>
        <v>0.24600000000000002</v>
      </c>
      <c r="Q10">
        <f t="shared" si="4"/>
        <v>0.91053263916700033</v>
      </c>
      <c r="R10">
        <f t="shared" si="5"/>
        <v>203</v>
      </c>
      <c r="S10">
        <f t="shared" si="6"/>
        <v>49.94</v>
      </c>
    </row>
    <row r="11" spans="1:19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>
        <f>AVERAGE(M2:M10)</f>
        <v>1.3475561457775063</v>
      </c>
      <c r="N11" s="4">
        <v>1.2440210410000001</v>
      </c>
      <c r="O11">
        <f>AVERAGE(O2:O10)</f>
        <v>0.23733333333333334</v>
      </c>
      <c r="P11">
        <f>AVERAGE(P2:P10)</f>
        <v>0.25655555555555554</v>
      </c>
      <c r="Q11">
        <f>AVERAGE(Q2:Q10)</f>
        <v>0.92517034617939986</v>
      </c>
    </row>
    <row r="12" spans="1:19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>
        <f>STDEV(M2:M10)</f>
        <v>3.4432936083765749E-2</v>
      </c>
      <c r="N12" s="4">
        <v>3.7656293610000002E-2</v>
      </c>
      <c r="O12">
        <f>STDEV(O2:O10)</f>
        <v>1.9150718002205552E-2</v>
      </c>
      <c r="P12">
        <f>STDEV(P2:P10)</f>
        <v>2.0616201827149874E-2</v>
      </c>
      <c r="Q12">
        <f>STDEV(Q2:Q10)</f>
        <v>1.4105294407765515E-2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Size Trends from Papers Summary</vt:lpstr>
      <vt:lpstr>A. cuspidata Calc</vt:lpstr>
      <vt:lpstr>P. clavata Calc</vt:lpstr>
      <vt:lpstr>P. pristis Calc</vt:lpstr>
      <vt:lpstr>P. zijsron Calc</vt:lpstr>
      <vt:lpstr>Faria - A. cuspidata</vt:lpstr>
      <vt:lpstr>Faria - P. clavata</vt:lpstr>
      <vt:lpstr>Faria - P. prists</vt:lpstr>
      <vt:lpstr>Faria - P. zijsron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Veronika Biskis</cp:lastModifiedBy>
  <dcterms:created xsi:type="dcterms:W3CDTF">2022-06-28T06:48:06Z</dcterms:created>
  <dcterms:modified xsi:type="dcterms:W3CDTF">2023-04-13T07:38:30Z</dcterms:modified>
</cp:coreProperties>
</file>